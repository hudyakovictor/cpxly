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13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Обзор F1" sheetId="1" state="visible" r:id="rId3"/>
    <sheet name="Допущения F1" sheetId="2" state="visible" r:id="rId4"/>
    <sheet name="План месяцев F1" sheetId="3" state="visible" r:id="rId5"/>
    <sheet name="Слабый F1" sheetId="4" state="visible" r:id="rId6"/>
    <sheet name="Рабочий F1" sheetId="5" state="visible" r:id="rId7"/>
    <sheet name="Сильный F1" sheetId="6" state="visible" r:id="rId8"/>
    <sheet name="Проверки Checks" sheetId="7" state="visible" r:id="rId9"/>
    <sheet name="Каталог F1" sheetId="8" state="visible" r:id="rId10"/>
    <sheet name="Сигналы F1" sheetId="9" state="visible" r:id="rId11"/>
    <sheet name="Тезисы F1" sheetId="10" state="visible" r:id="rId12"/>
    <sheet name="Источники Sources" sheetId="11" state="visible" r:id="rId13"/>
    <sheet name="Не строить F1" sheetId="12" state="visible" r:id="rId14"/>
    <sheet name="Финансирование F1" sheetId="13" state="visible" r:id="rId15"/>
    <sheet name="Карта файлов F1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B2" authorId="0">
      <text>
        <r>
          <rPr>
            <sz val="10"/>
            <rFont val="Arial"/>
            <family val="2"/>
          </rPr>
          <t xml:space="preserve">Займ учредителя из архива; не подтверждён выпиской</t>
        </r>
      </text>
    </comment>
    <comment ref="B3" authorId="0">
      <text>
        <r>
          <rPr>
            <sz val="10"/>
            <rFont val="Arial"/>
            <family val="2"/>
          </rPr>
          <t xml:space="preserve">Стартовый бюджет v2, не коммерческая смета</t>
        </r>
      </text>
    </comment>
    <comment ref="B4" authorId="0">
      <text>
        <r>
          <rPr>
            <sz val="10"/>
            <rFont val="Arial"/>
            <family val="2"/>
          </rPr>
          <t xml:space="preserve">Новая тестовая гипотеза; не конверсия массовых писем</t>
        </r>
      </text>
    </comment>
    <comment ref="B5" authorId="0">
      <text>
        <r>
          <rPr>
            <sz val="10"/>
            <rFont val="Arial"/>
            <family val="2"/>
          </rPr>
          <t xml:space="preserve">Новая тестовая гипотеза</t>
        </r>
      </text>
    </comment>
    <comment ref="B6" authorId="0">
      <text>
        <r>
          <rPr>
            <sz val="10"/>
            <rFont val="Arial"/>
            <family val="2"/>
          </rPr>
          <t xml:space="preserve">Новая тестовая гипотеза</t>
        </r>
      </text>
    </comment>
    <comment ref="B7" authorId="0">
      <text>
        <r>
          <rPr>
            <sz val="10"/>
            <rFont val="Arial"/>
            <family val="2"/>
          </rPr>
          <t xml:space="preserve">Гипотеза; измерять когортами</t>
        </r>
      </text>
    </comment>
    <comment ref="B8" authorId="0">
      <text>
        <r>
          <rPr>
            <sz val="10"/>
            <rFont val="Arial"/>
            <family val="2"/>
          </rPr>
          <t xml:space="preserve">Новая тестовая гипотеза; не готовый тариф</t>
        </r>
      </text>
    </comment>
    <comment ref="B9" authorId="0">
      <text>
        <r>
          <rPr>
            <sz val="10"/>
            <rFont val="Arial"/>
            <family val="2"/>
          </rPr>
          <t xml:space="preserve">Гипотеза использования</t>
        </r>
      </text>
    </comment>
    <comment ref="B10" authorId="0">
      <text>
        <r>
          <rPr>
            <sz val="10"/>
            <rFont val="Arial"/>
            <family val="2"/>
          </rPr>
          <t xml:space="preserve">Бюджетная гипотеза; измерять все попытки и OCR</t>
        </r>
      </text>
    </comment>
    <comment ref="B11" authorId="0">
      <text>
        <r>
          <rPr>
            <sz val="10"/>
            <rFont val="Arial"/>
            <family val="2"/>
          </rPr>
          <t xml:space="preserve">Бюджетная гипотеза эксперта</t>
        </r>
      </text>
    </comment>
    <comment ref="B12" authorId="0">
      <text>
        <r>
          <rPr>
            <sz val="10"/>
            <rFont val="Arial"/>
            <family val="2"/>
          </rPr>
          <t xml:space="preserve">Бюджетная гипотеза; заменяется договором</t>
        </r>
      </text>
    </comment>
    <comment ref="B13" authorId="0">
      <text>
        <r>
          <rPr>
            <sz val="10"/>
            <rFont val="Arial"/>
            <family val="2"/>
          </rPr>
          <t xml:space="preserve">Упрощённая задержка оплаты на один месяц</t>
        </r>
      </text>
    </comment>
    <comment ref="B14" authorId="0">
      <text>
        <r>
          <rPr>
            <sz val="10"/>
            <rFont val="Arial"/>
            <family val="2"/>
          </rPr>
          <t xml:space="preserve">Резерв, не расчёт декларации; режим и НДС подтверждает бухгалтер</t>
        </r>
      </text>
    </comment>
    <comment ref="B15" authorId="0">
      <text>
        <r>
          <rPr>
            <sz val="10"/>
            <rFont val="Arial"/>
            <family val="2"/>
          </rPr>
          <t xml:space="preserve">Новая бюджетная гипотеза, только первое начисление</t>
        </r>
      </text>
    </comment>
    <comment ref="B16" authorId="0">
      <text>
        <r>
          <rPr>
            <sz val="10"/>
            <rFont val="Arial"/>
            <family val="2"/>
          </rPr>
          <t xml:space="preserve">Ценовая гипотеза v2; лимит экспертизы отдельно</t>
        </r>
      </text>
    </comment>
    <comment ref="B17" authorId="0">
      <text>
        <r>
          <rPr>
            <sz val="10"/>
            <rFont val="Arial"/>
            <family val="2"/>
          </rPr>
          <t xml:space="preserve">Пилотная ценовая гипотеза v2</t>
        </r>
      </text>
    </comment>
    <comment ref="B18" authorId="0">
      <text>
        <r>
          <rPr>
            <sz val="10"/>
            <rFont val="Arial"/>
            <family val="2"/>
          </rPr>
          <t xml:space="preserve">По умолчанию ноль: личные расходы не финансируются моделью</t>
        </r>
      </text>
    </comment>
    <comment ref="B19" authorId="0">
      <text>
        <r>
          <rPr>
            <sz val="10"/>
            <rFont val="Arial"/>
            <family val="2"/>
          </rPr>
          <t xml:space="preserve">Импутированная стоимость, не дополнительный платёж</t>
        </r>
      </text>
    </comment>
    <comment ref="B20" authorId="0">
      <text>
        <r>
          <rPr>
            <sz val="10"/>
            <rFont val="Arial"/>
            <family val="2"/>
          </rPr>
          <t xml:space="preserve">Управленческое правило, не норматив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H1" authorId="0">
      <text>
        <r>
          <rPr>
            <sz val="10"/>
            <rFont val="Arial"/>
            <family val="2"/>
          </rPr>
          <t xml:space="preserve">Ожидаемые дробные клиенты, не фактические компании.</t>
        </r>
      </text>
    </comment>
    <comment ref="L1" authorId="0">
      <text>
        <r>
          <rPr>
            <sz val="10"/>
            <rFont val="Arial"/>
            <family val="2"/>
          </rPr>
          <t xml:space="preserve">Пилоты не должны одновременно учитываться как подписка. Затраты пилота = выручка × доля экспертной проверки — упрощённая гипотеза.</t>
        </r>
      </text>
    </comment>
    <comment ref="N1" authorId="0">
      <text>
        <r>
          <rPr>
            <sz val="10"/>
            <rFont val="Arial"/>
            <family val="2"/>
          </rPr>
          <t xml:space="preserve">Начисленная подписка по среднему числу активных; MRR на конец отдельно.</t>
        </r>
      </text>
    </comment>
    <comment ref="T1" authorId="0">
      <text>
        <r>
          <rPr>
            <sz val="10"/>
            <rFont val="Arial"/>
            <family val="2"/>
          </rPr>
          <t xml:space="preserve">После налогового резерва и стоимости труда основателя; это НЕ EBITDA и не бухгалтерская прибыль.</t>
        </r>
      </text>
    </comment>
    <comment ref="X1" authorId="0">
      <text>
        <r>
          <rPr>
            <sz val="10"/>
            <rFont val="Arial"/>
            <family val="2"/>
          </rPr>
          <t xml:space="preserve">Кассовый разрыв не закрывается автоматически. Нет грантов, займа сверх начального и инвестиций без подтверждения. Остаток дебиторки на конец года не является кассой.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H1" authorId="0">
      <text>
        <r>
          <rPr>
            <sz val="10"/>
            <rFont val="Arial"/>
            <family val="2"/>
          </rPr>
          <t xml:space="preserve">Ожидаемые дробные клиенты, не фактические компании.</t>
        </r>
      </text>
    </comment>
    <comment ref="L1" authorId="0">
      <text>
        <r>
          <rPr>
            <sz val="10"/>
            <rFont val="Arial"/>
            <family val="2"/>
          </rPr>
          <t xml:space="preserve">Пилоты не должны одновременно учитываться как подписка. Затраты пилота = выручка × доля экспертной проверки — упрощённая гипотеза.</t>
        </r>
      </text>
    </comment>
    <comment ref="N1" authorId="0">
      <text>
        <r>
          <rPr>
            <sz val="10"/>
            <rFont val="Arial"/>
            <family val="2"/>
          </rPr>
          <t xml:space="preserve">Начисленная подписка по среднему числу активных; MRR на конец отдельно.</t>
        </r>
      </text>
    </comment>
    <comment ref="T1" authorId="0">
      <text>
        <r>
          <rPr>
            <sz val="10"/>
            <rFont val="Arial"/>
            <family val="2"/>
          </rPr>
          <t xml:space="preserve">После налогового резерва и стоимости труда основателя; это НЕ EBITDA и не бухгалтерская прибыль.</t>
        </r>
      </text>
    </comment>
    <comment ref="X1" authorId="0">
      <text>
        <r>
          <rPr>
            <sz val="10"/>
            <rFont val="Arial"/>
            <family val="2"/>
          </rPr>
          <t xml:space="preserve">Кассовый разрыв не закрывается автоматически. Нет грантов, займа сверх начального и инвестиций без подтверждения. Остаток дебиторки на конец года не является кассой.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H1" authorId="0">
      <text>
        <r>
          <rPr>
            <sz val="10"/>
            <rFont val="Arial"/>
            <family val="2"/>
          </rPr>
          <t xml:space="preserve">Ожидаемые дробные клиенты, не фактические компании.</t>
        </r>
      </text>
    </comment>
    <comment ref="L1" authorId="0">
      <text>
        <r>
          <rPr>
            <sz val="10"/>
            <rFont val="Arial"/>
            <family val="2"/>
          </rPr>
          <t xml:space="preserve">Пилоты не должны одновременно учитываться как подписка. Затраты пилота = выручка × доля экспертной проверки — упрощённая гипотеза.</t>
        </r>
      </text>
    </comment>
    <comment ref="N1" authorId="0">
      <text>
        <r>
          <rPr>
            <sz val="10"/>
            <rFont val="Arial"/>
            <family val="2"/>
          </rPr>
          <t xml:space="preserve">Начисленная подписка по среднему числу активных; MRR на конец отдельно.</t>
        </r>
      </text>
    </comment>
    <comment ref="T1" authorId="0">
      <text>
        <r>
          <rPr>
            <sz val="10"/>
            <rFont val="Arial"/>
            <family val="2"/>
          </rPr>
          <t xml:space="preserve">После налогового резерва и стоимости труда основателя; это НЕ EBITDA и не бухгалтерская прибыль.</t>
        </r>
      </text>
    </comment>
    <comment ref="X1" authorId="0">
      <text>
        <r>
          <rPr>
            <sz val="10"/>
            <rFont val="Arial"/>
            <family val="2"/>
          </rPr>
          <t xml:space="preserve">Кассовый разрыв не закрывается автоматически. Нет грантов, займа сверх начального и инвестиций без подтверждения. Остаток дебиторки на конец года не является кассой.</t>
        </r>
      </text>
    </comment>
  </commentList>
</comments>
</file>

<file path=xl/sharedStrings.xml><?xml version="1.0" encoding="utf-8"?>
<sst xmlns="http://schemas.openxmlformats.org/spreadsheetml/2006/main" count="5886" uniqueCount="3151">
  <si>
    <t xml:space="preserve">CAPEXLY · рабочий комплект</t>
  </si>
  <si>
    <t xml:space="preserve">14.10.2026 · редакция F1</t>
  </si>
  <si>
    <t xml:space="preserve">Не факт продаж. Все расчёты — сценарные гипотезы.</t>
  </si>
  <si>
    <t xml:space="preserve">Начните с допущений. Синие клетки — ввод; формулы — расчёт.</t>
  </si>
  <si>
    <t xml:space="preserve">Показатель</t>
  </si>
  <si>
    <t xml:space="preserve">Слабый F1</t>
  </si>
  <si>
    <t xml:space="preserve">Рабочий F1</t>
  </si>
  <si>
    <t xml:space="preserve">Сильный F1</t>
  </si>
  <si>
    <t xml:space="preserve">Как читать</t>
  </si>
  <si>
    <t xml:space="preserve">Клиенты на конец м12</t>
  </si>
  <si>
    <t xml:space="preserve">Ожидаемое значение, не округлённая история</t>
  </si>
  <si>
    <t xml:space="preserve">MRR на конец м12, руб.</t>
  </si>
  <si>
    <t xml:space="preserve">Повторяемая подписка; разовые платежи исключены</t>
  </si>
  <si>
    <t xml:space="preserve">Начислено за 12 мес., руб.</t>
  </si>
  <si>
    <t xml:space="preserve">Смешение подписки и отдельных пилотов/документов</t>
  </si>
  <si>
    <t xml:space="preserve">Касса на конец м12, руб.</t>
  </si>
  <si>
    <t xml:space="preserve">С учётом задержки поступлений</t>
  </si>
  <si>
    <t xml:space="preserve">Минимальная касса, руб.</t>
  </si>
  <si>
    <t xml:space="preserve">Проверяется весь помесячный путь</t>
  </si>
  <si>
    <t xml:space="preserve">Доп. деньги до нулевой кассы</t>
  </si>
  <si>
    <t xml:space="preserve">Без резервной подушки; не обещание финансирования</t>
  </si>
  <si>
    <t xml:space="preserve">Экономический результат м12</t>
  </si>
  <si>
    <t xml:space="preserve">Включает неоплаченный труд основателя</t>
  </si>
  <si>
    <t xml:space="preserve">Минимальное финансирование с резервом</t>
  </si>
  <si>
    <t xml:space="preserve">Добавка для покрытия фиксированных выплат × резерв</t>
  </si>
  <si>
    <t xml:space="preserve">ЧТО СОХРАНЕНО</t>
  </si>
  <si>
    <t xml:space="preserve">57 исходных ID</t>
  </si>
  <si>
    <t xml:space="preserve">41 клиентская запись</t>
  </si>
  <si>
    <t xml:space="preserve">11 платформенных</t>
  </si>
  <si>
    <t xml:space="preserve">5 GTM</t>
  </si>
  <si>
    <t xml:space="preserve">Не 57 независимых продуктов</t>
  </si>
  <si>
    <t xml:space="preserve">125 сигналов</t>
  </si>
  <si>
    <t xml:space="preserve">Пересказ из Iter6</t>
  </si>
  <si>
    <t xml:space="preserve">Исходный внешний пакет отсутствует</t>
  </si>
  <si>
    <t xml:space="preserve">Реестр доказательств</t>
  </si>
  <si>
    <t xml:space="preserve">Тезисы F1 / Источники Sources</t>
  </si>
  <si>
    <t xml:space="preserve">URL и доменные упоминания различены</t>
  </si>
  <si>
    <t xml:space="preserve">Касса и экономика</t>
  </si>
  <si>
    <t xml:space="preserve">Неоплаченный труд виден</t>
  </si>
  <si>
    <t xml:space="preserve">Доставка/подпись оплачиваются клиентом напрямую</t>
  </si>
  <si>
    <t xml:space="preserve">Драйвер</t>
  </si>
  <si>
    <t xml:space="preserve">Основание / ограничения</t>
  </si>
  <si>
    <t xml:space="preserve">Начальная касса, руб.</t>
  </si>
  <si>
    <t xml:space="preserve">Займ учредителя из архива; не подтверждён выпиской</t>
  </si>
  <si>
    <t xml:space="preserve">Стартовые затраты, руб.</t>
  </si>
  <si>
    <t xml:space="preserve">Стартовый бюджет v2, не коммерческая смета</t>
  </si>
  <si>
    <t xml:space="preserve">Ответы / квалифицированные контакты</t>
  </si>
  <si>
    <t xml:space="preserve">Новая тестовая гипотеза; не конверсия массовых писем</t>
  </si>
  <si>
    <t xml:space="preserve">Демо / ответы</t>
  </si>
  <si>
    <t xml:space="preserve">Новая тестовая гипотеза</t>
  </si>
  <si>
    <t xml:space="preserve">Оплаты / демо</t>
  </si>
  <si>
    <t xml:space="preserve">Отток клиентов за месяц</t>
  </si>
  <si>
    <t xml:space="preserve">Гипотеза; измерять когортами</t>
  </si>
  <si>
    <t xml:space="preserve">ARPU подписки, руб./мес.</t>
  </si>
  <si>
    <t xml:space="preserve">Новая тестовая гипотеза; не готовый тариф</t>
  </si>
  <si>
    <t xml:space="preserve">Документов на активного клиента/мес.</t>
  </si>
  <si>
    <t xml:space="preserve">Гипотеза использования</t>
  </si>
  <si>
    <t xml:space="preserve">Стоимость AI/OCR на документ, руб.</t>
  </si>
  <si>
    <t xml:space="preserve">Бюджетная гипотеза; измерять все попытки и OCR</t>
  </si>
  <si>
    <t xml:space="preserve">Проверка одного документа, часов</t>
  </si>
  <si>
    <t xml:space="preserve">Бюджетная гипотеза эксперта</t>
  </si>
  <si>
    <t xml:space="preserve">Ставка эксперта, руб./час</t>
  </si>
  <si>
    <t xml:space="preserve">Бюджетная гипотеза; заменяется договором</t>
  </si>
  <si>
    <t xml:space="preserve">Доля выручки, поступающая в следующем месяце</t>
  </si>
  <si>
    <t xml:space="preserve">Упрощённая задержка оплаты на один месяц</t>
  </si>
  <si>
    <t xml:space="preserve">УСН: резерв от денежных поступлений</t>
  </si>
  <si>
    <t xml:space="preserve">Резерв, не расчёт декларации; режим и НДС подтверждает бухгалтер</t>
  </si>
  <si>
    <t xml:space="preserve">Партнёрская комиссия от первого месяца</t>
  </si>
  <si>
    <t xml:space="preserve">Новая бюджетная гипотеза, только первое начисление</t>
  </si>
  <si>
    <t xml:space="preserve">Цена разового документа, руб.</t>
  </si>
  <si>
    <t xml:space="preserve">Ценовая гипотеза v2; лимит экспертизы отдельно</t>
  </si>
  <si>
    <t xml:space="preserve">Цена отдельного пилота, руб.</t>
  </si>
  <si>
    <t xml:space="preserve">Пилотная ценовая гипотеза v2</t>
  </si>
  <si>
    <t xml:space="preserve">Выплата основателю в кассовом плане, руб./мес.</t>
  </si>
  <si>
    <t xml:space="preserve">По умолчанию ноль: личные расходы не финансируются моделью</t>
  </si>
  <si>
    <t xml:space="preserve">Экономическая стоимость труда основателя, руб./мес.</t>
  </si>
  <si>
    <t xml:space="preserve">Импутированная стоимость, не дополнительный платёж</t>
  </si>
  <si>
    <t xml:space="preserve">Резерв в месяцах постоянных платежей</t>
  </si>
  <si>
    <t xml:space="preserve">Управленческое правило, не норматив</t>
  </si>
  <si>
    <t xml:space="preserve">Месяц</t>
  </si>
  <si>
    <t xml:space="preserve">Период</t>
  </si>
  <si>
    <t xml:space="preserve">Контакты с основанием</t>
  </si>
  <si>
    <t xml:space="preserve">Партнёрские новые клиенты</t>
  </si>
  <si>
    <t xml:space="preserve">Пилоты, отдельных шт.</t>
  </si>
  <si>
    <t xml:space="preserve">Разовые документы, шт.</t>
  </si>
  <si>
    <t xml:space="preserve">Доля документов с экспертной проверкой</t>
  </si>
  <si>
    <t xml:space="preserve">Постоянные платежи, руб.</t>
  </si>
  <si>
    <t xml:space="preserve">Подтверждённое финансирование, руб.</t>
  </si>
  <si>
    <t xml:space="preserve">Комментарий</t>
  </si>
  <si>
    <t xml:space="preserve">ноя 2026</t>
  </si>
  <si>
    <t xml:space="preserve">Прогноз; вводить факт. Финансирование F1 только при подтверждении.</t>
  </si>
  <si>
    <t xml:space="preserve">дек 2026</t>
  </si>
  <si>
    <t xml:space="preserve">янв 2027</t>
  </si>
  <si>
    <t xml:space="preserve">фев 2027</t>
  </si>
  <si>
    <t xml:space="preserve">мар 2027</t>
  </si>
  <si>
    <t xml:space="preserve">апр 2027</t>
  </si>
  <si>
    <t xml:space="preserve">май 2027</t>
  </si>
  <si>
    <t xml:space="preserve">июн 2027</t>
  </si>
  <si>
    <t xml:space="preserve">июл 2027</t>
  </si>
  <si>
    <t xml:space="preserve">авг 2027</t>
  </si>
  <si>
    <t xml:space="preserve">сен 2027</t>
  </si>
  <si>
    <t xml:space="preserve">окт 2027</t>
  </si>
  <si>
    <t xml:space="preserve">Мес.</t>
  </si>
  <si>
    <t xml:space="preserve">Контакты</t>
  </si>
  <si>
    <t xml:space="preserve">Ответы</t>
  </si>
  <si>
    <t xml:space="preserve">Демо</t>
  </si>
  <si>
    <t xml:space="preserve">Новые прямые</t>
  </si>
  <si>
    <t xml:space="preserve">Новые партн.</t>
  </si>
  <si>
    <t xml:space="preserve">Отток, клиентов</t>
  </si>
  <si>
    <t xml:space="preserve">Клиенты на конец</t>
  </si>
  <si>
    <t xml:space="preserve">Средние активные</t>
  </si>
  <si>
    <t xml:space="preserve">ARPU, руб.</t>
  </si>
  <si>
    <t xml:space="preserve">MRR конец, руб.</t>
  </si>
  <si>
    <t xml:space="preserve">Разовые пилоты</t>
  </si>
  <si>
    <t xml:space="preserve">Разовые документы</t>
  </si>
  <si>
    <t xml:space="preserve">Начислено всего</t>
  </si>
  <si>
    <t xml:space="preserve">Прямые затраты</t>
  </si>
  <si>
    <t xml:space="preserve">Вклад до фикс.</t>
  </si>
  <si>
    <t xml:space="preserve">Фикс. выплаты</t>
  </si>
  <si>
    <t xml:space="preserve">Налоговый резерв</t>
  </si>
  <si>
    <t xml:space="preserve">Неопл. труд основ.</t>
  </si>
  <si>
    <t xml:space="preserve">Экон. результат</t>
  </si>
  <si>
    <t xml:space="preserve">Денежные поступления</t>
  </si>
  <si>
    <t xml:space="preserve">Денежные расходы</t>
  </si>
  <si>
    <t xml:space="preserve">Подтвержд. деньги</t>
  </si>
  <si>
    <t xml:space="preserve">Касса на конец</t>
  </si>
  <si>
    <t xml:space="preserve">Запас кассы</t>
  </si>
  <si>
    <t xml:space="preserve">Проверка</t>
  </si>
  <si>
    <t xml:space="preserve">Отклонение / факт</t>
  </si>
  <si>
    <t xml:space="preserve">Ожидание</t>
  </si>
  <si>
    <t xml:space="preserve">Статус</t>
  </si>
  <si>
    <t xml:space="preserve">Пояснение</t>
  </si>
  <si>
    <t xml:space="preserve">Разложение каталога</t>
  </si>
  <si>
    <t xml:space="preserve">Без parent/child-дедупликации; записи, не сервисы</t>
  </si>
  <si>
    <t xml:space="preserve">Уникальные ID сигналов</t>
  </si>
  <si>
    <t xml:space="preserve">Пересказы сохранены полностью</t>
  </si>
  <si>
    <t xml:space="preserve">Слабый F1: мост кассы м1</t>
  </si>
  <si>
    <t xml:space="preserve">Открытие + поступления - расходы + подтверждённые деньги</t>
  </si>
  <si>
    <t xml:space="preserve">Слабый F1: сумма нач. выручки</t>
  </si>
  <si>
    <t xml:space="preserve">Подписка по средним клиентам + отдельные платежи</t>
  </si>
  <si>
    <t xml:space="preserve">Слабый F1: финальная дебиторка</t>
  </si>
  <si>
    <t xml:space="preserve">Начислено - получено = задержанная выручка м12</t>
  </si>
  <si>
    <t xml:space="preserve">Рабочий F1: мост кассы м1</t>
  </si>
  <si>
    <t xml:space="preserve">Рабочий F1: сумма нач. выручки</t>
  </si>
  <si>
    <t xml:space="preserve">Рабочий F1: финальная дебиторка</t>
  </si>
  <si>
    <t xml:space="preserve">Сильный F1: мост кассы м1</t>
  </si>
  <si>
    <t xml:space="preserve">Сильный F1: сумма нач. выручки</t>
  </si>
  <si>
    <t xml:space="preserve">Сильный F1: финальная дебиторка</t>
  </si>
  <si>
    <t xml:space="preserve">ID архива</t>
  </si>
  <si>
    <t xml:space="preserve">Итоговая функция / запись</t>
  </si>
  <si>
    <t xml:space="preserve">Класс записи</t>
  </si>
  <si>
    <t xml:space="preserve">Решение F1</t>
  </si>
  <si>
    <t xml:space="preserve">Описание из исследования — НЕ обещание</t>
  </si>
  <si>
    <t xml:space="preserve">Блокер из архива</t>
  </si>
  <si>
    <t xml:space="preserve">Условие перехода</t>
  </si>
  <si>
    <t xml:space="preserve">Требует проверки</t>
  </si>
  <si>
    <t xml:space="preserve">Источник</t>
  </si>
  <si>
    <t xml:space="preserve">S-01</t>
  </si>
  <si>
    <t xml:space="preserve">ИИ-конвейер оплаты субподрядчика</t>
  </si>
  <si>
    <t xml:space="preserve">Клиентская возможность</t>
  </si>
  <si>
    <t xml:space="preserve">MVP</t>
  </si>
  <si>
    <t xml:space="preserve">КС-2/КС-3 под форму заказчика → напоминание → претензия с расчётом процентов → уведомление о приостановке (ст. 719/328) → карта сделки → иск-готовность</t>
  </si>
  <si>
    <t xml:space="preserve">нет (доставка e-mail/Почта по API)</t>
  </si>
  <si>
    <t xml:space="preserve">Один полный маршрут: корректные входы, юрист, контроль отправки, доказательства, журнал, экспорт, тесты</t>
  </si>
  <si>
    <t xml:space="preserve">Не подтверждён архивом; старые месяцы готовности и баллы не доказательство</t>
  </si>
  <si>
    <t xml:space="preserve">Capexly_BusinessPlan_v2.xlsx / Каталог_57</t>
  </si>
  <si>
    <t xml:space="preserve">S-02</t>
  </si>
  <si>
    <t xml:space="preserve">Классификатор препятствий и уведомления ст. 716/718/719/406</t>
  </si>
  <si>
    <t xml:space="preserve">Определяет основание (материалы, неоплата, непередача площадки/ПД) и формирует уведомление + требование об изменении сроков</t>
  </si>
  <si>
    <t xml:space="preserve">нет</t>
  </si>
  <si>
    <t xml:space="preserve">S-03</t>
  </si>
  <si>
    <t xml:space="preserve">Претензия об оплате с расчётом (ст. 395/330)</t>
  </si>
  <si>
    <t xml:space="preserve">Расчёт процентов/неустойки по договору, доставка на все адреса, таймер досудебного срока (ч. 5 ст. 4 АПК)</t>
  </si>
  <si>
    <t xml:space="preserve">S-04</t>
  </si>
  <si>
    <t xml:space="preserve">Односторонний акт и вызов на приёмку (ст. 753)</t>
  </si>
  <si>
    <t xml:space="preserve">Уведомление о готовности, вызов на приёмку, односторонний акт при уклонении, таймер мотивированного отказа</t>
  </si>
  <si>
    <t xml:space="preserve">S-05</t>
  </si>
  <si>
    <t xml:space="preserve">Проект мотивированного отказа; без автоматической остановки оплаты</t>
  </si>
  <si>
    <t xml:space="preserve">После пилотов</t>
  </si>
  <si>
    <t xml:space="preserve">Юридически значимый отказ от приёмки с перечнем недостатков и доставкой; блокировка оплаты до передачи ИД</t>
  </si>
  <si>
    <t xml:space="preserve">Платный спрос, тест-сет на реальных данных, отдельная приёмка</t>
  </si>
  <si>
    <t xml:space="preserve">S-06</t>
  </si>
  <si>
    <t xml:space="preserve">ИИ-ворота оплаты генподрядчика (сверка КС-2 субподрядчика)</t>
  </si>
  <si>
    <t xml:space="preserve">Сверка акта субподрядчика с ведомостью, сметой, накопительной и РД; лист расхождений → допуск к оплате или отказ</t>
  </si>
  <si>
    <t xml:space="preserve">качество семантической сверки — библиотека соответствий + ML (не вайбкодинг)</t>
  </si>
  <si>
    <t xml:space="preserve">S-07</t>
  </si>
  <si>
    <t xml:space="preserve">Калькулятор применимых сроков качества с проверкой юриста</t>
  </si>
  <si>
    <t xml:space="preserve">Сроки обнаружения/устранения недостатков, гарантия, давность (ст. 724, 725, 756)</t>
  </si>
  <si>
    <t xml:space="preserve">S-08</t>
  </si>
  <si>
    <t xml:space="preserve">Таймер гарантийного удержания</t>
  </si>
  <si>
    <t xml:space="preserve">Условия ГУ из договора → календарь возврата → претензия с процентами; контроль зачётов</t>
  </si>
  <si>
    <t xml:space="preserve">S-09</t>
  </si>
  <si>
    <t xml:space="preserve">ЕИС-акт пречек (44-ФЗ)</t>
  </si>
  <si>
    <t xml:space="preserve">GTM — не продукт</t>
  </si>
  <si>
    <t xml:space="preserve">Структурированный акт ЕИС ↔ смета контракта ↔ КС-2 ↔ график; валидатор ошибок, ведущих к отказу</t>
  </si>
  <si>
    <t xml:space="preserve">спецификация акта ЕИС открыта; подача — через кабинет клиента</t>
  </si>
  <si>
    <t xml:space="preserve">Коммерческий процесс; готовность измеряется отдельно</t>
  </si>
  <si>
    <t xml:space="preserve">S-10</t>
  </si>
  <si>
    <t xml:space="preserve">ИИ-регресс к субподрядчику по гарантийному дефекту</t>
  </si>
  <si>
    <t xml:space="preserve">Обращение дольщика/УК → классификация по ГОСТ Р 72509 → виновный субподрядчик по АОСР → претензия и удержание из ГУ → таймер 60 дней</t>
  </si>
  <si>
    <t xml:space="preserve">для автоматизации — API helpdesk застройщика (Базис/Техзор, по согласованию)</t>
  </si>
  <si>
    <t xml:space="preserve">S-11</t>
  </si>
  <si>
    <t xml:space="preserve">Ответ на предписание/акт проверки ГСН, ходатайство о продлении</t>
  </si>
  <si>
    <t xml:space="preserve">Эксперимент</t>
  </si>
  <si>
    <t xml:space="preserve">Возражения, извещение об исполнении, ходатайство о продлении срока с валидатором процедуры</t>
  </si>
  <si>
    <t xml:space="preserve">Интервью и ручной оплаченный кейс до разработки</t>
  </si>
  <si>
    <t xml:space="preserve">S-12</t>
  </si>
  <si>
    <t xml:space="preserve">ИИ-жалоба на штраф ГСН + ходатайство о снижении/замене предупреждением</t>
  </si>
  <si>
    <t xml:space="preserve">Жалоба по 248-ФЗ/КоАП с нормоконтролем, ходатайство (ст. 4.1.1, 2.9), таймер 10 дней</t>
  </si>
  <si>
    <t xml:space="preserve">S-13</t>
  </si>
  <si>
    <t xml:space="preserve">Процедурный валидатор проверки (248-ФЗ)</t>
  </si>
  <si>
    <t xml:space="preserve">Проверка оснований, процедуры, сроков, полномочий — аргументы для обжалования</t>
  </si>
  <si>
    <t xml:space="preserve">S-14</t>
  </si>
  <si>
    <t xml:space="preserve">Досье принятых мер</t>
  </si>
  <si>
    <t xml:space="preserve">Фиксация действий по предписанию (фото, акты, письма) с хэшами и таймлайном</t>
  </si>
  <si>
    <t xml:space="preserve">S-15</t>
  </si>
  <si>
    <t xml:space="preserve">Таймеры процессуальных сроков с версионированными правилами</t>
  </si>
  <si>
    <t xml:space="preserve">Персональные дедлайны по каждому постановлению и предписанию</t>
  </si>
  <si>
    <t xml:space="preserve">S-16</t>
  </si>
  <si>
    <t xml:space="preserve">Подготовка уведомлений СРО по применимой форме</t>
  </si>
  <si>
    <t xml:space="preserve">Автоуведомление СРО о каждом договоре в 3 рабочих дня (штраф до 100 тыс. ₽), пакет к плановой проверке</t>
  </si>
  <si>
    <t xml:space="preserve">формы 246 СРО — сбор силами ПТО/юриста (5 → 50 СРО)</t>
  </si>
  <si>
    <t xml:space="preserve">S-17</t>
  </si>
  <si>
    <t xml:space="preserve">Монитор регрессной экспозиции СРО/КФ ОДО</t>
  </si>
  <si>
    <t xml:space="preserve">Отслеживание исков к членам и регрессных требований СРО, таймеры</t>
  </si>
  <si>
    <t xml:space="preserve">парсинг КАД (лимиты/капча) → API агрегатора</t>
  </si>
  <si>
    <t xml:space="preserve">S-18</t>
  </si>
  <si>
    <t xml:space="preserve">White-label для СРО (входящая сторона)</t>
  </si>
  <si>
    <t xml:space="preserve">Кабинет СРО: уведомления членов структурированно; «ИИ-юрист по 309-ФЗ» для членов под брендом СРО</t>
  </si>
  <si>
    <t xml:space="preserve">партнёрское соглашение с СРО</t>
  </si>
  <si>
    <t xml:space="preserve">S-19</t>
  </si>
  <si>
    <t xml:space="preserve">Монитор НРС/НОК и допусков</t>
  </si>
  <si>
    <t xml:space="preserve">Срок свидетельства НОК 3 года, исключения из НРС, уведомления за 90/30 дней</t>
  </si>
  <si>
    <t xml:space="preserve">парсер открытого реестра НРС</t>
  </si>
  <si>
    <t xml:space="preserve">S-20</t>
  </si>
  <si>
    <t xml:space="preserve">ИИ-защита от РНП и негативного рейтинга</t>
  </si>
  <si>
    <t xml:space="preserve">Возражения против включения в РНП, ответы на негативные записи, досье исполнения</t>
  </si>
  <si>
    <t xml:space="preserve">S-21</t>
  </si>
  <si>
    <t xml:space="preserve">Регуляторный календарь с персональными триггерами</t>
  </si>
  <si>
    <t xml:space="preserve">ЧЗ 01.12.2026, 304-ФЗ, госпочта 01.03.2027, маркировка ИИ, НОК — напоминания с готовыми действиями</t>
  </si>
  <si>
    <t xml:space="preserve">S-22</t>
  </si>
  <si>
    <t xml:space="preserve">Монитор платёжеспособности контрагента → ранний сигнал приостановки</t>
  </si>
  <si>
    <t xml:space="preserve">ЕФРСБ/КАД/ЕГРЮЛ через API → триггер уведомления ст. 719 и стоп-работ</t>
  </si>
  <si>
    <t xml:space="preserve">платный API агрегатора данных</t>
  </si>
  <si>
    <t xml:space="preserve">S-23</t>
  </si>
  <si>
    <t xml:space="preserve">ИИ-журнал задержек / EOT-досье</t>
  </si>
  <si>
    <t xml:space="preserve">События, доказательства, уведомления, влияние на срок; ввод за 60 секунд в MAX/Telegram; дайджест</t>
  </si>
  <si>
    <t xml:space="preserve">бот в MAX — открытый API</t>
  </si>
  <si>
    <t xml:space="preserve">S-24</t>
  </si>
  <si>
    <t xml:space="preserve">Ранний сигнал задержки по промежуточным срокам</t>
  </si>
  <si>
    <t xml:space="preserve">Факт vs график договора → уведомление заказчика до истечения срока (ВС 305-ЭС25-1541)</t>
  </si>
  <si>
    <t xml:space="preserve">S-25</t>
  </si>
  <si>
    <t xml:space="preserve">ИИ-конвейер доп. работ ст. 743</t>
  </si>
  <si>
    <t xml:space="preserve">T&amp;M-тег с фото и подписью → уведомление → 10-дневный таймер → приостановка → допсоглашение; 5 сценариев</t>
  </si>
  <si>
    <t xml:space="preserve">S-26</t>
  </si>
  <si>
    <t xml:space="preserve">ИИ-ЗОС-пречек согласованности ИД</t>
  </si>
  <si>
    <t xml:space="preserve">АОСР ↔ ОЖР ↔ паспорта ↔ даты поставок ↔ КС-2 ↔ подписанты — отчёт о разрывах</t>
  </si>
  <si>
    <t xml:space="preserve">качество OCR/сверки (ML); рукопись — Qwen3-VL на своей видеокарте</t>
  </si>
  <si>
    <t xml:space="preserve">S-27</t>
  </si>
  <si>
    <t xml:space="preserve">ЗОС-чек-лист и пакет на ввод (реестровая модель 304-ФЗ)</t>
  </si>
  <si>
    <t xml:space="preserve">Состав документов к ЗОС/вводу по ст. 55 ГрК с учётом реестровой модели</t>
  </si>
  <si>
    <t xml:space="preserve">S-28</t>
  </si>
  <si>
    <t xml:space="preserve">ИЗМ-радар</t>
  </si>
  <si>
    <t xml:space="preserve">Изменение РД/ПД → затронутые работы, КС-2, срок → уведомления ст. 743/744 и запись в EOT</t>
  </si>
  <si>
    <t xml:space="preserve">разбор РД/спецификаций — ML-задача (не вайбкодинг)</t>
  </si>
  <si>
    <t xml:space="preserve">S-29</t>
  </si>
  <si>
    <t xml:space="preserve">Change-менеджер ч. 65.1 ст. 112 44-ФЗ</t>
  </si>
  <si>
    <t xml:space="preserve">Пакет на изменение существенных условий контракта (окно до 01.01.2027)</t>
  </si>
  <si>
    <t xml:space="preserve">окно закрывается 01.01.2027</t>
  </si>
  <si>
    <t xml:space="preserve">S-30</t>
  </si>
  <si>
    <t xml:space="preserve">ИИ-генератор ППР / ТК / стройгенплана («ППР-лайт» по ОТ)</t>
  </si>
  <si>
    <t xml:space="preserve">HOLD</t>
  </si>
  <si>
    <t xml:space="preserve">ППР неполного объёма, ТК и решения по ОТ (п. 6.22 СП 48) из сметы/графика; валидатор титула</t>
  </si>
  <si>
    <t xml:space="preserve">библиотека ТК/СП (сбор ПТО); проверка инженером</t>
  </si>
  <si>
    <t xml:space="preserve">Право, данные, интеграция или экономика ещё не подтверждены</t>
  </si>
  <si>
    <t xml:space="preserve">S-31</t>
  </si>
  <si>
    <t xml:space="preserve">Черновик наряда-допуска; не разрешение на опасные работы</t>
  </si>
  <si>
    <t xml:space="preserve">Наряды-допуски на опасные работы из решений ППР с привязкой к паспорту допуска</t>
  </si>
  <si>
    <t xml:space="preserve">S-32</t>
  </si>
  <si>
    <t xml:space="preserve">ИИ-паспорт допуска 2.0</t>
  </si>
  <si>
    <t xml:space="preserve">Удостоверения (OCR), протоколы ЕИСОТ по API, НРС, доля иностранцев, патенты через партнёрский API; медданные вне контура</t>
  </si>
  <si>
    <t xml:space="preserve">ЕИСОТ API — КЭП клиента (0 ₽); патенты/РКЛ — API партнёра (платно)</t>
  </si>
  <si>
    <t xml:space="preserve">S-33</t>
  </si>
  <si>
    <t xml:space="preserve">Пакет допуска субподрядчика для ГП</t>
  </si>
  <si>
    <t xml:space="preserve">Реестр допущенных на дату, акт допуска с подписью, отчёт для ГИТ/заказчика</t>
  </si>
  <si>
    <t xml:space="preserve">S-34</t>
  </si>
  <si>
    <t xml:space="preserve">Пред-приёмка и чек-лист по ГОСТ Р 72509-2026</t>
  </si>
  <si>
    <t xml:space="preserve">Чек-лист по стандарту отделки, замеры, ИИ-отчёт о дефектах до передачи квартиры</t>
  </si>
  <si>
    <t xml:space="preserve">официальный текст ГОСТ (платный доступ)</t>
  </si>
  <si>
    <t xml:space="preserve">S-35</t>
  </si>
  <si>
    <t xml:space="preserve">Ответ на претензию дольщика/УК + гарантийный календарь</t>
  </si>
  <si>
    <t xml:space="preserve">Классификация требования, ответ в срок (60 дней), таймеры ПП 2380/1917, лимит 3%</t>
  </si>
  <si>
    <t xml:space="preserve">S-36</t>
  </si>
  <si>
    <t xml:space="preserve">Карта сделки + индекс полноты первичных документов</t>
  </si>
  <si>
    <t xml:space="preserve">Платформенная функция</t>
  </si>
  <si>
    <t xml:space="preserve">Доказательственный пакет по модели ВС: переписка (хэши, TSP) + КС-2 + платежи + ИД + таймлайн молчания</t>
  </si>
  <si>
    <t xml:space="preserve">TSP-метки — сервис УЦ</t>
  </si>
  <si>
    <t xml:space="preserve">S-37</t>
  </si>
  <si>
    <t xml:space="preserve">Журнал контактных лиц заказчика</t>
  </si>
  <si>
    <t xml:space="preserve">Полномочия, каналы, эстоппель — кто и как подтверждал объёмы</t>
  </si>
  <si>
    <t xml:space="preserve">S-38</t>
  </si>
  <si>
    <t xml:space="preserve">Паспорт объекта 2027</t>
  </si>
  <si>
    <t xml:space="preserve">Версионированный архив ИД (PDF/A, XML, хэши, реестр передачи) под реестровую модель</t>
  </si>
  <si>
    <t xml:space="preserve">хранилище S3 в РФ</t>
  </si>
  <si>
    <t xml:space="preserve">S-39</t>
  </si>
  <si>
    <t xml:space="preserve">Журнал событий и подтверждений; целостность не равна вручению</t>
  </si>
  <si>
    <t xml:space="preserve">TSP/CAdES-хэши каждого документа и события доставки; маркировка ИИ-черновиков</t>
  </si>
  <si>
    <t xml:space="preserve">TSP</t>
  </si>
  <si>
    <t xml:space="preserve">S-40</t>
  </si>
  <si>
    <t xml:space="preserve">Контролируемая доставка через подтверждённый канал</t>
  </si>
  <si>
    <t xml:space="preserve">Договорный канал → ЕГРЮЛ → ЭДО → e-mail → Почта/ЭЗП → госпочта (01.03.2027); эстоппель-детектор</t>
  </si>
  <si>
    <t xml:space="preserve">ЭДО — API Диадок/СБИС (партнёрство); госпочта с 01.03.2027</t>
  </si>
  <si>
    <t xml:space="preserve">S-41</t>
  </si>
  <si>
    <t xml:space="preserve">Подпись через агрегатора (Sign.Me/СУП), МЧД</t>
  </si>
  <si>
    <t xml:space="preserve">КЭП клиента через лицензиата ФСБ по API; без СКЗИ в контуре Capexly</t>
  </si>
  <si>
    <t xml:space="preserve">договор с агрегатором подписей (платно за подпись)</t>
  </si>
  <si>
    <t xml:space="preserve">S-42</t>
  </si>
  <si>
    <t xml:space="preserve">ИИ-профиль обязанностей и сроков договора</t>
  </si>
  <si>
    <t xml:space="preserve">Парсер договора: сроки, уведомления, адреса, ГУ, штрафы → питает все таймеры</t>
  </si>
  <si>
    <t xml:space="preserve">S-43</t>
  </si>
  <si>
    <t xml:space="preserve">Нормоконтроль ссылок</t>
  </si>
  <si>
    <t xml:space="preserve">Проверка каждой ссылки на норму/практику по официальным источникам</t>
  </si>
  <si>
    <t xml:space="preserve">нет API КонсультантПлюс/Гарант — проверка по открытым карточкам и юристом (не вайбкодинг)</t>
  </si>
  <si>
    <t xml:space="preserve">S-44</t>
  </si>
  <si>
    <t xml:space="preserve">Библиотека форм заказчиков/СРО/органов</t>
  </si>
  <si>
    <t xml:space="preserve">20 СРО + 10 ГП + региональные формы предписаний; актив удержания</t>
  </si>
  <si>
    <t xml:space="preserve">сбор и разметка форм (ПТО/юрист)</t>
  </si>
  <si>
    <t xml:space="preserve">S-45</t>
  </si>
  <si>
    <t xml:space="preserve">Библиотека соответствий «смета ↔ КС-2»</t>
  </si>
  <si>
    <t xml:space="preserve">Накапливаемые пары формулировок для семантической сверки (ядро ворот оплаты)</t>
  </si>
  <si>
    <t xml:space="preserve">данные от клиентов (обезличено)</t>
  </si>
  <si>
    <t xml:space="preserve">S-46</t>
  </si>
  <si>
    <t xml:space="preserve">Коннекторы: 1С, Диадок/СБИС, helpdesk гарантии, ВИС-партнёр</t>
  </si>
  <si>
    <t xml:space="preserve">Импорт КС-2/КС-3 из 1С, ЭДО-доставка, обращения из Базис/Техзор, ИСУП через партнёра-ВИС</t>
  </si>
  <si>
    <t xml:space="preserve">1С — внешняя обработка (консультант 1С); Диадок API; helpdesk API по согласованию</t>
  </si>
  <si>
    <t xml:space="preserve">S-47</t>
  </si>
  <si>
    <t xml:space="preserve">ИД-фабрика pay-per-doc («наследие»)</t>
  </si>
  <si>
    <t xml:space="preserve">АОСР/журналы/XML 344/пр внутри пакета, валидатор подписантов и дат</t>
  </si>
  <si>
    <t xml:space="preserve">схемы XML 344/пр открыты; валидация инженером</t>
  </si>
  <si>
    <t xml:space="preserve">S-48</t>
  </si>
  <si>
    <t xml:space="preserve">Эскроу-ИЖС: пакет для банка и защита подрядчика</t>
  </si>
  <si>
    <t xml:space="preserve">Документы/уведомления под регламент банка, защита от ст. 717, поэтапная приёмка</t>
  </si>
  <si>
    <t xml:space="preserve">банк-партнёр (регламент эскроу)</t>
  </si>
  <si>
    <t xml:space="preserve">S-49</t>
  </si>
  <si>
    <t xml:space="preserve">Документы качества → реестры ФСА/НОСТРОЙ</t>
  </si>
  <si>
    <t xml:space="preserve">Распознавание паспортов/сертификатов, проверка в реестрах, привязка партии к АОСР</t>
  </si>
  <si>
    <t xml:space="preserve">реестры ФСА открыты (лимиты); OCR паспортов</t>
  </si>
  <si>
    <t xml:space="preserve">S-50</t>
  </si>
  <si>
    <t xml:space="preserve">Маркировка материалов и М-29: два отдельных эксперимента</t>
  </si>
  <si>
    <t xml:space="preserve">УПД с кодами ↔ накладные ↔ списание ↔ АОСР; поэкземплярный учёт с 01.12.2026</t>
  </si>
  <si>
    <t xml:space="preserve">юридическая справка об обязанности подрядчика; API ЧЗ бесплатный</t>
  </si>
  <si>
    <t xml:space="preserve">S-51</t>
  </si>
  <si>
    <t xml:space="preserve">Казначейский пречек платёжного пакета</t>
  </si>
  <si>
    <t xml:space="preserve">ИГК, раздельный учёт, расходная декларация → валидаторы 12н/15.37.1 КоАП до подачи в УФК</t>
  </si>
  <si>
    <t xml:space="preserve">валидация гипотезы H5 (4 интервью); регламенты УФК открыты</t>
  </si>
  <si>
    <t xml:space="preserve">S-52</t>
  </si>
  <si>
    <t xml:space="preserve">ИИ-риск-профиль контракта (тендер-экономика без смет)</t>
  </si>
  <si>
    <t xml:space="preserve">Сроки, штрафы, ГУ, авансы, НДС-навигатор 2026, калькулятор субподряда</t>
  </si>
  <si>
    <t xml:space="preserve">справочники НДС/ПП 1315 открыты</t>
  </si>
  <si>
    <t xml:space="preserve">S-53</t>
  </si>
  <si>
    <t xml:space="preserve">«3 уведомления бесплатно» (freemium)</t>
  </si>
  <si>
    <t xml:space="preserve">Коммерческий процесс</t>
  </si>
  <si>
    <t xml:space="preserve">Три юридически значимых уведомления с доставкой бесплатно — вход в конвейер</t>
  </si>
  <si>
    <t xml:space="preserve">S-54</t>
  </si>
  <si>
    <t xml:space="preserve">Пилотный пакет 60–90 дней</t>
  </si>
  <si>
    <t xml:space="preserve">Фиксированная цена, scope, 6 метрик, дата решения, условия конверсии</t>
  </si>
  <si>
    <t xml:space="preserve">S-55</t>
  </si>
  <si>
    <t xml:space="preserve">Эксперимент оплаты по результату; не базовая выручка</t>
  </si>
  <si>
    <t xml:space="preserve">0 ₽ подписка + 2% от полученной просроченной оплаты (cap 50 тыс. ₽) / оплата за закрытое событие</t>
  </si>
  <si>
    <t xml:space="preserve">подтверждение оплаты клиентом (выписка) — договор</t>
  </si>
  <si>
    <t xml:space="preserve">S-56</t>
  </si>
  <si>
    <t xml:space="preserve">Лид-триггеры из ЕИС/hh/НРС/ЕРКНМ</t>
  </si>
  <si>
    <t xml:space="preserve">Субподрядчики крупных ГП (ПП 1466), вакансии ИД/ПТО/претензионная работа, исключённые из НРС, предписания → письма</t>
  </si>
  <si>
    <t xml:space="preserve">парсеры открытых реестров</t>
  </si>
  <si>
    <t xml:space="preserve">S-57</t>
  </si>
  <si>
    <t xml:space="preserve">White-label для аутсорсеров ИД/ОТ/стройконтроля/КС</t>
  </si>
  <si>
    <t xml:space="preserve">Движок валидаторов и доставки под брендом аутсорсера; оплата за объект</t>
  </si>
  <si>
    <t xml:space="preserve">партнёрский договор</t>
  </si>
  <si>
    <t xml:space="preserve">ID</t>
  </si>
  <si>
    <t xml:space="preserve">Категория (внешн.)</t>
  </si>
  <si>
    <t xml:space="preserve">Сигнал (кратко)</t>
  </si>
  <si>
    <t xml:space="preserve">Флаг</t>
  </si>
  <si>
    <t xml:space="preserve">Сила</t>
  </si>
  <si>
    <t xml:space="preserve">Модуль Capexly</t>
  </si>
  <si>
    <t xml:space="preserve">Отношение</t>
  </si>
  <si>
    <t xml:space="preserve">Статус F1</t>
  </si>
  <si>
    <t xml:space="preserve">S01</t>
  </si>
  <si>
    <t xml:space="preserve">1 Вакансии</t>
  </si>
  <si>
    <t xml:space="preserve">Массовые вакансии «инженер ПТО на исполнительную документацию» 100–250 тыс. руб. Функции: сверка КС-2/КС-3 с договорной ведомостью, АОСР, журналы, контроль работ по…</t>
  </si>
  <si>
    <t xml:space="preserve">[Ф]</t>
  </si>
  <si>
    <t xml:space="preserve">сильный</t>
  </si>
  <si>
    <t xml:space="preserve">M2, M5, P4</t>
  </si>
  <si>
    <t xml:space="preserve">Подтверждает</t>
  </si>
  <si>
    <t xml:space="preserve">Ручная сверка КС-2 с договорной ведомостью — функция, за которую нанимают ПТО; это ядро платёжного конвейера и «ворот оплаты»</t>
  </si>
  <si>
    <t xml:space="preserve">Пересказ из Iter6; [Ф] не перепроверен</t>
  </si>
  <si>
    <t xml:space="preserve">S02</t>
  </si>
  <si>
    <t xml:space="preserve">Инженер ПТО/сметчик — №1 по востребованности среди ИТР; 5,6% всех вакансий отрасли, hh.индекс 2,4; медиана предложений 120,2 тыс. (+21% г/г) при общем падении вакансий…</t>
  </si>
  <si>
    <t xml:space="preserve">M5, M1</t>
  </si>
  <si>
    <t xml:space="preserve">ПТО/сметчик — самая дефицитная ИТР-роль; тезис «ИИ-бэк-офис вместо найма» подтверждён</t>
  </si>
  <si>
    <t xml:space="preserve">S03</t>
  </si>
  <si>
    <t xml:space="preserve">Вакансия «специалист ОКС: контроль гарантийного сопровождения объектов в гарантийный срок, рассмотрение обращений граждан» — отдельная штатная функция у застройщиков</t>
  </si>
  <si>
    <t xml:space="preserve">средний</t>
  </si>
  <si>
    <t xml:space="preserve">M8, M2</t>
  </si>
  <si>
    <t xml:space="preserve">Дополняет</t>
  </si>
  <si>
    <t xml:space="preserve">Гарантийный отдел застройщика как отдельная роль → сегмент для M8 и «регресса к субподрядчику»</t>
  </si>
  <si>
    <t xml:space="preserve">S04</t>
  </si>
  <si>
    <t xml:space="preserve">Вакансия «главный специалист: проверка актов НЗП на предмет превышений над договорной ведомостью и РД» — ручная сверка объёмов</t>
  </si>
  <si>
    <t xml:space="preserve">M2 (ворота оплаты)</t>
  </si>
  <si>
    <t xml:space="preserve">Новое</t>
  </si>
  <si>
    <t xml:space="preserve">«Проверка актов НЗП на превышение над ведомостью/РД» — прямой запрос на сверку принимающей стороной (Sminex: 1 600 ч/цикл)</t>
  </si>
  <si>
    <t xml:space="preserve">S05</t>
  </si>
  <si>
    <t xml:space="preserve">Рынок труда охлаждается (вакансии −12…−16%, резюме +11%), но зарплаты ПТО/прорабов растут на 17–21% — дефицит именно «документных» и линейных ИТР сохраняется</t>
  </si>
  <si>
    <t xml:space="preserve">[Ф]+[И]</t>
  </si>
  <si>
    <t xml:space="preserve">все</t>
  </si>
  <si>
    <t xml:space="preserve">Зарплаты «документных» ИТР растут при охлаждении рынка — экономия часов монетизируема</t>
  </si>
  <si>
    <t xml:space="preserve">S06</t>
  </si>
  <si>
    <t xml:space="preserve">1 Вакансии / 7 Рынок</t>
  </si>
  <si>
    <t xml:space="preserve">Авито: подработка для инженеров-сметчиков +26%, отклики +86% (янв–май 2026); спрос на авторский надзор +51%, консультации для строителей +45%, строительную экспертизу…</t>
  </si>
  <si>
    <t xml:space="preserve">M4, M13</t>
  </si>
  <si>
    <t xml:space="preserve">Разовый спрос на экспертизу/авторский надзор/консультации +45–71% → поддерживает pay-per-doc</t>
  </si>
  <si>
    <t xml:space="preserve">S07</t>
  </si>
  <si>
    <t xml:space="preserve">1 Вакансии / 8 Финансы</t>
  </si>
  <si>
    <t xml:space="preserve">Оценки дефицита кадров противоречат друг другу: 160 тыс. (ВНИИ труда), 750 тыс. (НОСТРОЙ), ~1 млн (Минстрой); иностранных работников −35% за 2 года; 85% компаний —…</t>
  </si>
  <si>
    <t xml:space="preserve">[Ф] (противоречие зафиксировано)</t>
  </si>
  <si>
    <t xml:space="preserve">—</t>
  </si>
  <si>
    <t xml:space="preserve">Вне фокуса</t>
  </si>
  <si>
    <t xml:space="preserve">Противоречивые оценки дефицита кадров; использовать только с оговоркой</t>
  </si>
  <si>
    <t xml:space="preserve">S08</t>
  </si>
  <si>
    <t xml:space="preserve">Зарплаты рабочих в июле 2026 +2,9% г/г против +13,9% годом ранее — рост остановился на фоне падения объёмов</t>
  </si>
  <si>
    <t xml:space="preserve">слабый</t>
  </si>
  <si>
    <t xml:space="preserve">Зарплаты рабочих — вне фокуса</t>
  </si>
  <si>
    <t xml:space="preserve">S09</t>
  </si>
  <si>
    <t xml:space="preserve">2 Госзакупки</t>
  </si>
  <si>
    <t xml:space="preserve">Регионы закупают доработку/развитие ГИСОГД: Брянская 6,9 млн, Рязанская 20,9 млн (интеграция с ЕИСЖС и «Стройкомплекс»), Калининградская 14,2 млн на 2026</t>
  </si>
  <si>
    <t xml:space="preserve">P3</t>
  </si>
  <si>
    <t xml:space="preserve">Закупки ГИСОГД — покупатель государство (совпадает с их B7 и нашим отказом)</t>
  </si>
  <si>
    <t xml:space="preserve">S10</t>
  </si>
  <si>
    <t xml:space="preserve">Стройконтроль закупается как отдельная услуга: НМЦК 39,9 млн при реконструкции на 1,84 млрд (~2,2%); зафиксирован конфликт интересов — функции стройконтроля заказчика…</t>
  </si>
  <si>
    <t xml:space="preserve">M10, M11</t>
  </si>
  <si>
    <t xml:space="preserve">Стройконтроль как услуга ~2,2% стоимости → аутсорсеры стройконтроля как партнёры/реселлеры</t>
  </si>
  <si>
    <t xml:space="preserve">S11</t>
  </si>
  <si>
    <t xml:space="preserve">2 Госзакупки / 3 Регуляторика</t>
  </si>
  <si>
    <t xml:space="preserve">Подрядчик на госзаказе платит за ВИС для передачи данных в ИСУП: тариф Exon привязан к сметной стоимости объекта — от 2 тыс. руб./мес (&lt;5 млн) до 230 тыс. руб./мес (&gt;4…</t>
  </si>
  <si>
    <t xml:space="preserve">P3, M11</t>
  </si>
  <si>
    <t xml:space="preserve">Корректирует</t>
  </si>
  <si>
    <t xml:space="preserve">Тариф ВИС по сметной стоимости (2–230 тыс. ₽/мес за объект) — ценовой якорь; наш ИСУП-коннектор только через партнёра-ВИС</t>
  </si>
  <si>
    <t xml:space="preserve">S12</t>
  </si>
  <si>
    <t xml:space="preserve">Электронное актирование по 44-ФЗ обязательно (закупки &gt;600 тыс.); отказ в приёмке возможен за ошибки оформления; для «Строительства» нет шага ТРУ; типовые ошибки КС-2…</t>
  </si>
  <si>
    <t xml:space="preserve">M2 (ЕИС-акт)</t>
  </si>
  <si>
    <t xml:space="preserve">Электронное актирование 44-ФЗ: ошибки оформления → отказ в оплате — новая микрофункция «ЕИС-акт пречек»</t>
  </si>
  <si>
    <t xml:space="preserve">S13</t>
  </si>
  <si>
    <t xml:space="preserve">2 Госзакупки / 8 Финансы</t>
  </si>
  <si>
    <t xml:space="preserve">Казначейское сопровождение: раздельный учёт обязателен (ст. 15.37.1 КоАП), ИГК нужен в договорах субподряда, иначе УФК отказывает в платеже; кейс — 1,8 млн «зависли»,…</t>
  </si>
  <si>
    <t xml:space="preserve">[Ф]+[М]</t>
  </si>
  <si>
    <t xml:space="preserve">M15 (кандидат)</t>
  </si>
  <si>
    <t xml:space="preserve">Казначейское сопровождение: ИГК/раздельный учёт, 1,8 млн ₽ «зависли» — новая боль, не покрытая Capexly</t>
  </si>
  <si>
    <t xml:space="preserve">S14</t>
  </si>
  <si>
    <t xml:space="preserve">3 Регуляторика</t>
  </si>
  <si>
    <t xml:space="preserve">ИД в электронном виде: приказ 344/пр (XML-схемы), редакция 369/пр действует с 01.03.2026; ГОСТ Р 70108-2025 закрепляет XML как приоритет; Минстрой планирует править…</t>
  </si>
  <si>
    <t xml:space="preserve">M5, P4</t>
  </si>
  <si>
    <t xml:space="preserve">344/пр, 369/пр, ГОСТ Р 70108-2025 — уже в календаре Capexly</t>
  </si>
  <si>
    <t xml:space="preserve">S15</t>
  </si>
  <si>
    <t xml:space="preserve">ИСУП: 87 регионов, 21 000+ проектов; подрядчик обязан сдавать документы через ВИС из перечня Минстроя (в 2024 — три: Exon, ЦУС, MStroy); нет кабинета подрядчика;…</t>
  </si>
  <si>
    <t xml:space="preserve">ИСУП 87 регионов/21 000 проектов, но доступ подрядчика только через 3 ВИС → партнёрство, не свой статус</t>
  </si>
  <si>
    <t xml:space="preserve">S16</t>
  </si>
  <si>
    <t xml:space="preserve">ТИМ обязателен (ПП 331: проектирование с 01.07.2024, СМР с 01.01.2025). Доля застройщиков с ТИМ: 30% (4 кв. 2024) → 44% (4 кв. 2025) → 47% (исследование 2026);…</t>
  </si>
  <si>
    <t xml:space="preserve">[Ф] (противоречие методик)</t>
  </si>
  <si>
    <t xml:space="preserve">ТИМ/BIM — не наш слой</t>
  </si>
  <si>
    <t xml:space="preserve">S17</t>
  </si>
  <si>
    <t xml:space="preserve">3 Регуляторика (ценообразование)</t>
  </si>
  <si>
    <t xml:space="preserve">РИМ/ФГИС ЦС: наполнение системы 36% (2022–2023); «по регионам 400–800 живых цен против ~18,5 тыс. позиций на одну блок-секцию» (Горячкин); текущая оценка практиков — не…</t>
  </si>
  <si>
    <t xml:space="preserve">ФГИС ЦС/сметы — исключено решением пользователя</t>
  </si>
  <si>
    <t xml:space="preserve">S18</t>
  </si>
  <si>
    <t xml:space="preserve">Конъюнктурный анализ (421/пр): ≥3 КП на каждую позицию без цены в ФГИС ЦС; поставщики отказываются тратить время на КП; в регионе может быть один поставщик; эксперт…</t>
  </si>
  <si>
    <t xml:space="preserve">M4</t>
  </si>
  <si>
    <t xml:space="preserve">КАЦ — боль реальна, но красная зона сметных вендоров; M4 без КАЦ</t>
  </si>
  <si>
    <t xml:space="preserve">S19</t>
  </si>
  <si>
    <t xml:space="preserve">214-ФЗ: гарантия на отделку 1 год (с 01.01.2025), лимит компенсации 3% цены ДДУ, стандарты отделки застройщика; особенности приёмки (ПП 2380/1917) продлены до конца…</t>
  </si>
  <si>
    <t xml:space="preserve">M8</t>
  </si>
  <si>
    <t xml:space="preserve">Гарантия отделки 1 год, лимит 3% ДДУ, стандарты отделки — основа M8/ГОСТ Р 72509</t>
  </si>
  <si>
    <t xml:space="preserve">S20</t>
  </si>
  <si>
    <t xml:space="preserve">3 Регуляторика / 8 Финансы</t>
  </si>
  <si>
    <t xml:space="preserve">Эскроу в ИЖС с 01.03.2025: заявились ~6 тыс. подрядчиков, половина готовы к эскроу; к дек. 2025 — 17 тыс. договоров, работают 3,2 тыс. подрядчиков; в Хабаровском крае с…</t>
  </si>
  <si>
    <t xml:space="preserve">M6</t>
  </si>
  <si>
    <t xml:space="preserve">Эскроу ИЖС: 3,2 тыс. подрядчиков работают, Хабаровск −30% — подтверждает ИЖС-слой</t>
  </si>
  <si>
    <t xml:space="preserve">S21</t>
  </si>
  <si>
    <t xml:space="preserve">3 Регуляторика / 4 Надзор</t>
  </si>
  <si>
    <t xml:space="preserve">НРС/НОК: срок свидетельства сокращён с 5 до 3 лет (экзамены с 27.02.2025); 21.08.2026 исключены 1076 специалистов, всего ~44 000; уведомления о сроке не приходят ни…</t>
  </si>
  <si>
    <t xml:space="preserve">M14, M12</t>
  </si>
  <si>
    <t xml:space="preserve">НРС/НОК: срок 3 года, 1 076 исключены, уведомлений нет → «монитор НРС» как функция M14 (не отдельный продукт)</t>
  </si>
  <si>
    <t xml:space="preserve">S22</t>
  </si>
  <si>
    <t xml:space="preserve">3 Регуляторика (логистика)</t>
  </si>
  <si>
    <t xml:space="preserve">Маркировка стройматериалов «Честный знак» (ПП 820 от 31.05.2025): цемент/смеси/гипс с 01.10.2025, герметики с 01.12.2025, запрет немаркированного с 01.05.2026,…</t>
  </si>
  <si>
    <t xml:space="preserve">M10 (ЧЗ-приёмка)</t>
  </si>
  <si>
    <t xml:space="preserve">Маркировка стройматериалов, 01.12.2026 поэкземплярный учёт — триггер, которого не было в Capexly</t>
  </si>
  <si>
    <t xml:space="preserve">S23</t>
  </si>
  <si>
    <t xml:space="preserve">3 Регуляторика (кадры/ОТ)</t>
  </si>
  <si>
    <t xml:space="preserve">Москва: ППМ 1927-ПП от 06.08.2025 — с 01.09.2025 все КПП стройплощадок оснащаются биометрическими СКУД с передачей проходов в «Реестр строителей» (АИС «Цифровой…</t>
  </si>
  <si>
    <t xml:space="preserve">Биометрические СКУД Москвы — вендоры оборудования</t>
  </si>
  <si>
    <t xml:space="preserve">S24</t>
  </si>
  <si>
    <t xml:space="preserve">3 Регуляторика (кадры)</t>
  </si>
  <si>
    <t xml:space="preserve">Реестр контролируемых лиц МВД с 05.02.2025 (обновление каждые 4 часа); штраф до 1 млн за каждого иностранца; кейс стройкомпании — 800 тыс. руб. за работника…</t>
  </si>
  <si>
    <t xml:space="preserve">[Ф]+[М] (кейс юрфирмы)</t>
  </si>
  <si>
    <t xml:space="preserve">M14</t>
  </si>
  <si>
    <t xml:space="preserve">РКЛ: штрафы до 1 млн ₽/иностранца; закрывать через партнёра (HRonBoard), не строить</t>
  </si>
  <si>
    <t xml:space="preserve">S25</t>
  </si>
  <si>
    <t xml:space="preserve">4 Надзор</t>
  </si>
  <si>
    <t xml:space="preserve">ГСН/ЗОС: типовые причины отказа — неполный комплект ИД, ошибки в журналах и актах, самовольные изменения проекта; юрфирма: «некомплектность ИТД — практически на каждой…</t>
  </si>
  <si>
    <t xml:space="preserve">M11, M5</t>
  </si>
  <si>
    <t xml:space="preserve">Отказы ЗОС из-за некомплекта ИД — ядро M11 «ЗОС-пречек»</t>
  </si>
  <si>
    <t xml:space="preserve">S26</t>
  </si>
  <si>
    <t xml:space="preserve">4 Суды</t>
  </si>
  <si>
    <t xml:space="preserve">ВС РФ 2025: непередача ИД — не безусловное основание отказа в оплате (бремя доказывания на заказчике); ВС 13.09.2024: без КС-2/КС-3 работы нельзя признать завершёнными.…</t>
  </si>
  <si>
    <t xml:space="preserve">M2</t>
  </si>
  <si>
    <t xml:space="preserve">ВС 2025: непередача ИД не безусловный отказ в оплате; без КС-2 работы не признать — валидаторы M2 уже учитывают</t>
  </si>
  <si>
    <t xml:space="preserve">S27</t>
  </si>
  <si>
    <t xml:space="preserve">4 Суды (субподряд)</t>
  </si>
  <si>
    <t xml:space="preserve">Гарантийное удержание 5–10% от каждого платежа: ВС (06.2025) вернул на пересмотр спор о невозврате 8 млн (зачёт по требованиям с истёкшей давностью); Обзор ВС №3 (2025)…</t>
  </si>
  <si>
    <t xml:space="preserve">Гарантийное удержание 5–10% и спор ВС (8 млн) → добавить «таймер возврата ГУ» в платёжный конвейер</t>
  </si>
  <si>
    <t xml:space="preserve">S28</t>
  </si>
  <si>
    <t xml:space="preserve">4 Надзор / 10 Обход</t>
  </si>
  <si>
    <t xml:space="preserve">АОСР «задним числом» — самая частая ошибка ИД; несоответствие записей ОЖР, АОСР, паспортов качества, дат поставок и испытаний трактуется как «рисование» документации;…</t>
  </si>
  <si>
    <t xml:space="preserve">M5, P5</t>
  </si>
  <si>
    <t xml:space="preserve">АОСР «задним числом», несоответствие дат — наш валидатор дат и «калькулятор сроков по качеству»</t>
  </si>
  <si>
    <t xml:space="preserve">S29</t>
  </si>
  <si>
    <t xml:space="preserve">4 Надзор (ОТ)</t>
  </si>
  <si>
    <t xml:space="preserve">Охрана труда на площадке: штрафы по ст. 5.27.1 КоАП — СИЗ до 150 тыс., допуск без обучения до 130 тыс., отсутствие журналов инструктажей до 130 тыс., приостановка до 90…</t>
  </si>
  <si>
    <t xml:space="preserve">Штрафы 5.27.1 КоАП (допуск без обучения до 130 тыс. ₽) — ценность M14</t>
  </si>
  <si>
    <t xml:space="preserve">S30</t>
  </si>
  <si>
    <t xml:space="preserve">4 Надзор (материалы)</t>
  </si>
  <si>
    <t xml:space="preserve">Фальсификат: по данным комитета СФ (2025) — цемент 22%, кабель 45%, радиаторы 15%; НОСТРОЙ — до 25% цемента, 40% смесей, до 70% кабеля; «входной контроль часто…</t>
  </si>
  <si>
    <t xml:space="preserve">[Ф] (оценки расходятся)</t>
  </si>
  <si>
    <t xml:space="preserve">M10</t>
  </si>
  <si>
    <t xml:space="preserve">Фальсификат (цемент 22–25%, кабель 45–70%) — входной контроль</t>
  </si>
  <si>
    <t xml:space="preserve">S31</t>
  </si>
  <si>
    <t xml:space="preserve">4 Надзор (гарантия)</t>
  </si>
  <si>
    <t xml:space="preserve">Дефекты при передаче квартир: центр «Аналитика. Право» — 93% новых квартир в 2025 с дефектами; адвокат — недостатки отделки в 73% приёмок; медиа-оценка риска по дому на…</t>
  </si>
  <si>
    <t xml:space="preserve">[М] (методика не раскрыта)</t>
  </si>
  <si>
    <t xml:space="preserve">93% квартир с дефектами — спрос на пред-приёмку</t>
  </si>
  <si>
    <t xml:space="preserve">S32</t>
  </si>
  <si>
    <t xml:space="preserve">5 Уход ПО</t>
  </si>
  <si>
    <t xml:space="preserve">Autodesk: запрет для юрлиц РФ с 20.03.2024, в апреле 2024 заблокированы и пиратские сборки; доля в строительном проектировании оценивалась до 90%; обходы найдены за дни</t>
  </si>
  <si>
    <t xml:space="preserve">устаревший (структурный)</t>
  </si>
  <si>
    <t xml:space="preserve">Уход Autodesk — не САПР</t>
  </si>
  <si>
    <t xml:space="preserve">S33</t>
  </si>
  <si>
    <t xml:space="preserve">Замены Revit 1:1 нет; стек застройщика — 6–8 продуктов разных вендоров плюс обязательный госконтур (ЕИСЖС, ГИСОГД, ИСУП); IFC — единственный мост; Renga слабее по…</t>
  </si>
  <si>
    <t xml:space="preserve">[М]+[Ф]</t>
  </si>
  <si>
    <t xml:space="preserve">Стек застройщика 6–8 продуктов — подтверждает «слой поверх», не замена</t>
  </si>
  <si>
    <t xml:space="preserve">S34</t>
  </si>
  <si>
    <t xml:space="preserve">Проверка коллизий после ухода Navisworks: процесс = HTML-отчёты + Excel + мессенджеры + ручное копирование ID элементов; инженер написал собственный сервис</t>
  </si>
  <si>
    <t xml:space="preserve">[Ф] (личный опыт)</t>
  </si>
  <si>
    <t xml:space="preserve">Коллизии BIM — красная зона</t>
  </si>
  <si>
    <t xml:space="preserve">S35</t>
  </si>
  <si>
    <t xml:space="preserve">Primavera P6: полного клона нет; графики переносятся через XER/XML, ресурсные пулы и ставки — вручную; вендорские заявления «95% готовности относительно P6» не…</t>
  </si>
  <si>
    <t xml:space="preserve">Primavera — не планировщик</t>
  </si>
  <si>
    <t xml:space="preserve">S36</t>
  </si>
  <si>
    <t xml:space="preserve">6 Сообщества</t>
  </si>
  <si>
    <t xml:space="preserve">Telegram стал операционной системой площадки: регламенты чатов, «фотопротокол как стандарт» (кадр, подпись, место на плане, номер версии чертежа), заявки на закупку…</t>
  </si>
  <si>
    <t xml:space="preserve">P1, P5</t>
  </si>
  <si>
    <t xml:space="preserve">Telegram как ОС площадки → доставка P1, MAX-бот, «карта сделки» из чатов</t>
  </si>
  <si>
    <t xml:space="preserve">S37</t>
  </si>
  <si>
    <t xml:space="preserve">Профсообщества ПТО/ИД: канал «Смысл в стройке» 6,86 тыс. подписчиков (ПТО, ИД, стройконтроль); чат ДАКОН &gt;1000 инженеров ПТО и СК (поиск работы, консультации по ИД),…</t>
  </si>
  <si>
    <t xml:space="preserve">GTM</t>
  </si>
  <si>
    <t xml:space="preserve">Сообщества ПТО («Смысл в стройке» 6,86 тыс., ДАКОН &gt;1 000) — канал контента и холодных писем</t>
  </si>
  <si>
    <t xml:space="preserve">S38</t>
  </si>
  <si>
    <t xml:space="preserve">6 Сообщества / 3 Регуляторика</t>
  </si>
  <si>
    <t xml:space="preserve">Актуальность чертежей на площадке: «строим полгода по тому с ИЗМ 4, а у подрядчика том без изменений» (dwg.ru); советник министра в 2024 называет «несвоевременное…</t>
  </si>
  <si>
    <t xml:space="preserve">M11, M13</t>
  </si>
  <si>
    <t xml:space="preserve">Неактуальные версии чертежей → разногласия по ИЗМ в EOT/ст. 743; само сравнение чертежей не строим (Pilot-ICE)</t>
  </si>
  <si>
    <t xml:space="preserve">S39</t>
  </si>
  <si>
    <t xml:space="preserve">Споры генподрядчик–субподрядчик — «более 40% всех строительных споров» (оценка юрфирмы); схемы: немотивированный отказ подписывать КС-2, «оплата после получения от…</t>
  </si>
  <si>
    <t xml:space="preserve">Споры ГП–субподрядчик &gt;40%; немотивированный отказ подписывать КС-2 — ядро M2</t>
  </si>
  <si>
    <t xml:space="preserve">S40</t>
  </si>
  <si>
    <t xml:space="preserve">6 Сообщества / 10 Обход</t>
  </si>
  <si>
    <t xml:space="preserve">Инженеры пишут собственные системы вместо Google-таблиц (цех металлоконструкций: учёт КТУ, заявки, простои); Sminex построил СИМ и сократил проверку объёмов КС-2 с 1600…</t>
  </si>
  <si>
    <t xml:space="preserve">Крупные пишут своё (Sminex СИМ) → наш фокус — МСП</t>
  </si>
  <si>
    <t xml:space="preserve">S41</t>
  </si>
  <si>
    <t xml:space="preserve">7 Рынок (ДОМ.РФ)</t>
  </si>
  <si>
    <t xml:space="preserve">Исследование ДОМ.РФ (170 застройщиков, 13 интервью): стройка — наименее цифровизированный этап (28%; у малых 18%), эксплуатация — 46%; даже у ТОП-5 цепочка «собственная…</t>
  </si>
  <si>
    <t xml:space="preserve">ДОМ.РФ: стройка 28% цифровизации — уже в iter 4</t>
  </si>
  <si>
    <t xml:space="preserve">S42</t>
  </si>
  <si>
    <t xml:space="preserve">7 Рынок</t>
  </si>
  <si>
    <t xml:space="preserve">Wordstat/Google Trends — данных не найдено: прямой доступ требует авторизации, опубликованных срезов по строительным запросам за 2025–2026 не обнаружено</t>
  </si>
  <si>
    <t xml:space="preserve">нет данных</t>
  </si>
  <si>
    <t xml:space="preserve">Wordstat недоступен — методологическая оговорка</t>
  </si>
  <si>
    <t xml:space="preserve">S43</t>
  </si>
  <si>
    <t xml:space="preserve">8 Финансы</t>
  </si>
  <si>
    <t xml:space="preserve">Банкротства застройщиков: дела 1089 (06.2026) → 1454 (09.2026), +41% г/г; в основном региональные девелоперы; 1П2026 +37%, за 2025 &gt;1,8 тыс. дел</t>
  </si>
  <si>
    <t xml:space="preserve">[Ф] (противоречие метрик)</t>
  </si>
  <si>
    <t xml:space="preserve">M2, M13</t>
  </si>
  <si>
    <t xml:space="preserve">Банкротства застройщиков +41% → «ранний сигнал задержки» и стоп-работы ст. 719</t>
  </si>
  <si>
    <t xml:space="preserve">S44</t>
  </si>
  <si>
    <t xml:space="preserve">8 Финансы (субподряд)</t>
  </si>
  <si>
    <t xml:space="preserve">Неплатежи по цепочке: просроченная зарплата в стройке 1,46 млрд (июнь 2026, рост &gt;2×) — 42% всей просрочки по зарплате в РФ; причина — дебиторка заказчиков; дебиторка…</t>
  </si>
  <si>
    <t xml:space="preserve">Просрочка зарплат 1,46 млрд ₽ из-за дебиторки → платёжный конвейер; оговорка о платёжеспособности субподрядчика</t>
  </si>
  <si>
    <t xml:space="preserve">S45</t>
  </si>
  <si>
    <t xml:space="preserve">Проектное финансирование: ставка впервые &gt;10% (2025); у 27% строящегося жилья риск проблем с финансированием; покрытие кредитов эскроу 66%; 23% кредитов с покрытием…</t>
  </si>
  <si>
    <t xml:space="preserve">ПФ &gt;10% — давление на цепочку</t>
  </si>
  <si>
    <t xml:space="preserve">S46</t>
  </si>
  <si>
    <t xml:space="preserve">8 Финансы (гарантия)</t>
  </si>
  <si>
    <t xml:space="preserve">Неустойки дольщикам за срыв сроков — ~100 млрд руб.; мораторий действовал до 31.12.2025, после него ответственность возвращается</t>
  </si>
  <si>
    <t xml:space="preserve">Неустойки дольщикам ~100 млрд ₽, мораторий снят</t>
  </si>
  <si>
    <t xml:space="preserve">S47</t>
  </si>
  <si>
    <t xml:space="preserve">8 Финансы / банки</t>
  </si>
  <si>
    <t xml:space="preserve">Банк при ПФ оплачивает затраты застройщика по каждому платёжному поручению после проверки; стройконтроль банка формирует отчёты о готовности, нарушения сроков…</t>
  </si>
  <si>
    <t xml:space="preserve">M6, P3</t>
  </si>
  <si>
    <t xml:space="preserve">Банк оплачивает по платёжкам после проверки → пакет документов для банка (расширение M6 на ПФ — HOLD)</t>
  </si>
  <si>
    <t xml:space="preserve">S48</t>
  </si>
  <si>
    <t xml:space="preserve">9 Конкурентный след</t>
  </si>
  <si>
    <t xml:space="preserve">Гранд-Смета: «отвратительная поддержка», «нет онлайн-версии, из-за флешки офис готов драться», КАЦ «проще составить в Excel», экспорт в Excel без формул и с…</t>
  </si>
  <si>
    <t xml:space="preserve">[М] пользователей</t>
  </si>
  <si>
    <t xml:space="preserve">Гранд-Смета — сметы</t>
  </si>
  <si>
    <t xml:space="preserve">S49</t>
  </si>
  <si>
    <t xml:space="preserve">Exon: полярные отзывы — «тормозит, а не ускоряет; технадзор и архивы по-прежнему требуют бумагу и акты, которые Exon формировать не умеет; времени на комплект ИД в 2…</t>
  </si>
  <si>
    <t xml:space="preserve">Exon: «технадзор и архивы требуют бумагу» → печатные формы и «паспорт объекта»</t>
  </si>
  <si>
    <t xml:space="preserve">S50</t>
  </si>
  <si>
    <t xml:space="preserve">Bitrix24 в стройке: интегратор — «90% внедрений: процессы не перенесены, Битрикс висит мёртвым грузом»; универсальная CRM не подходит застройщику без доработок,…</t>
  </si>
  <si>
    <t xml:space="preserve">[М]</t>
  </si>
  <si>
    <t xml:space="preserve">Bitrix24 «мёртвым грузом» в 90% внедрений — подтверждает отказ от CRM</t>
  </si>
  <si>
    <t xml:space="preserve">S51</t>
  </si>
  <si>
    <t xml:space="preserve">1С:УСО/УНСФ: сами вендоры описывают «три источника правды — смета в Гранд-Смете, график в Excel, факт в голове прораба»; при неверной настройке регистров КС-2…</t>
  </si>
  <si>
    <t xml:space="preserve">«Три источника правды» 1С — Capexly как слой документов/событий поверх 1С</t>
  </si>
  <si>
    <t xml:space="preserve">S52</t>
  </si>
  <si>
    <t xml:space="preserve">Насыщенность предложений: реестр ДОМ.РФ — 850+ отечественных решений для стройки; ДОМ.РФ сам развивает платформу «Цифровой контроль строительства» (государственный игрок…</t>
  </si>
  <si>
    <t xml:space="preserve">850+ решений в реестре ДОМ.РФ — красные зоны там, куда мы не идём</t>
  </si>
  <si>
    <t xml:space="preserve">S53</t>
  </si>
  <si>
    <t xml:space="preserve">10 Обход</t>
  </si>
  <si>
    <t xml:space="preserve">Рынок аутсорса ИД/ПТО: ОЖР и спецжурналы от 3000 руб./комплект за 2 дня; ИД «когда объект нужно сдавать и нет ИД» — от 50 000 руб./комплект, ППР от 24 000 руб., аутсорс…</t>
  </si>
  <si>
    <t xml:space="preserve">Аутсорс ИД от 50 000 ₽/комплект, ОЖР от 3 000 ₽ — якоря для pay-per-doc</t>
  </si>
  <si>
    <t xml:space="preserve">S54</t>
  </si>
  <si>
    <t xml:space="preserve">10 Обход (логистика)</t>
  </si>
  <si>
    <t xml:space="preserve">Форма М-29 (приказ ЦСУ СССР 1982) до сих пор ведётся прорабом вручную/в Excel; списание «на глаз», бригада требует «ещё столько же», перерасход всплывает при…</t>
  </si>
  <si>
    <t xml:space="preserve">M10 (М-29)</t>
  </si>
  <si>
    <t xml:space="preserve">М-29 вручную, списание «на глаз» — материальный баланс (их N7) — кандидат, HOLD до ясности ЧЗ</t>
  </si>
  <si>
    <t xml:space="preserve">S55</t>
  </si>
  <si>
    <t xml:space="preserve">Техника и ГСМ: автопарк 5–6 единиц ведётся в Excel; «неизвестно, сколько простоя, где техника, был ли слив ГСМ»; простой миксера на разгрузке оплачивается 500–1200…</t>
  </si>
  <si>
    <t xml:space="preserve">Техника/ГСМ — телематика</t>
  </si>
  <si>
    <t xml:space="preserve">S56</t>
  </si>
  <si>
    <t xml:space="preserve">10 Обход (кадры)</t>
  </si>
  <si>
    <t xml:space="preserve">Учёт рабочего времени: бумажный табель прораба и Excel в конце месяца — приписки не видны; «по табелю 20 человек, по площадке 14»; турникеты не ходят за бригадой между…</t>
  </si>
  <si>
    <t xml:space="preserve">Табели/приписки — не строим; «паспорт допуска» даёт список допущенных на дату</t>
  </si>
  <si>
    <t xml:space="preserve">S57</t>
  </si>
  <si>
    <t xml:space="preserve">10 Обход (снабжение)</t>
  </si>
  <si>
    <t xml:space="preserve">Заявки с объектов идут через WhatsApp/Telegram и Excel; «проект-менеджер собирает сметы по WhatsApp, снабженец ведёт заявки в Excel»; регламенты требуют формат «позиция…</t>
  </si>
  <si>
    <t xml:space="preserve">Заявки снабжения — заняты Синтекой/ПУСК</t>
  </si>
  <si>
    <t xml:space="preserve">S58</t>
  </si>
  <si>
    <t xml:space="preserve">10 Обход (эксплуатация)</t>
  </si>
  <si>
    <t xml:space="preserve">После ввода ПД/ИД по ГрК (ч. 11.1 ст. 55) передаётся УК, но на практике у УК документации часто нет; суды обязывают прежнюю УК восстанавливать её за свой счёт; копия…</t>
  </si>
  <si>
    <t xml:space="preserve">P5</t>
  </si>
  <si>
    <t xml:space="preserve">Передача документации УК — «паспорт объекта» как архив, но плательщик слаб (их B12)</t>
  </si>
  <si>
    <t xml:space="preserve">S59</t>
  </si>
  <si>
    <t xml:space="preserve">10 Обход (обучение)</t>
  </si>
  <si>
    <t xml:space="preserve">Обучение как способ обойти сложность систем: бесплатный курс Exon по передаче документов в ИСУП («сотрудники перестали ныть»), руководство ЦУС «как отчитываться в ИСУП»,…</t>
  </si>
  <si>
    <t xml:space="preserve">Обучение как обход сложности → онбординг «СРО за 3 дня», вебинары с СРО</t>
  </si>
  <si>
    <t xml:space="preserve">S60</t>
  </si>
  <si>
    <t xml:space="preserve">10 Обход (ИЖС/B2C)</t>
  </si>
  <si>
    <t xml:space="preserve">Частный заказчик: смета «текстом в WhatsApp», разрыв сметы и факта 20–40% (оценка), учёт в тетради; советы «фотофиксация скрытых работ и отдельные чеки»</t>
  </si>
  <si>
    <t xml:space="preserve">Частный заказчик: смета в WhatsApp, разрыв 20–40% — ИЖС-слой</t>
  </si>
  <si>
    <t xml:space="preserve">S61</t>
  </si>
  <si>
    <t xml:space="preserve">1 Вакансии (структурная выборка)</t>
  </si>
  <si>
    <t xml:space="preserve">hh.ru, активные вакансии по России на 14.10.2026: фраза «исполнительная документация» — 10 298 (в т.ч. 150 в названии), по словам — 20 797; в отрасли «Строительство,…</t>
  </si>
  <si>
    <t xml:space="preserve">[Ф] (одна платформа, один срез)</t>
  </si>
  <si>
    <t xml:space="preserve">M5, M2</t>
  </si>
  <si>
    <t xml:space="preserve">hh: «исполнительная документация» 10 298 вакансий (6,9% отрасли) — новая количественная опора спроса</t>
  </si>
  <si>
    <t xml:space="preserve">S62</t>
  </si>
  <si>
    <t xml:space="preserve">Инструментальный след в вакансиях hh.ru (14.10.2026): Excel упомянут в 3 065 вакансиях с «ПТО» (≈47% от 6 475), в отрасли — 5 675 (10,6%); Revit — 3 415 против Renga —…</t>
  </si>
  <si>
    <t xml:space="preserve">Excel в 47% ПТО-вакансий; Exon — 39 вакансий → низкая зрелость конкурентов</t>
  </si>
  <si>
    <t xml:space="preserve">S63</t>
  </si>
  <si>
    <t xml:space="preserve">Регуляторные обязанности без ролей: hh.ru 14.10.2026 — «казначейское сопровождение» 145 вакансий, «гарантийный отдел» 86, «Честный знак» + стройматериалы 30, «реестр…</t>
  </si>
  <si>
    <t xml:space="preserve">M15, M8, M10</t>
  </si>
  <si>
    <t xml:space="preserve">Роли без штата: казначейское 145, гарантийный отдел 86, ЧЗ 30, РКЛ 6 — обязанности есть, людей нет</t>
  </si>
  <si>
    <t xml:space="preserve">S64</t>
  </si>
  <si>
    <t xml:space="preserve">Рынок труда развернулся: 5,0 резюме на вакансию в стройке (hh.ru); регионов с дефицитом 73 (2024) → 29 (2025); апрель 2025 — 165 тыс. вакансий (−19%), резюме 832 тыс.…</t>
  </si>
  <si>
    <t xml:space="preserve">Рынок труда развернулся (5 резюме на вакансию) — аргумент «нет денег на людей», а не «нет людей»</t>
  </si>
  <si>
    <t xml:space="preserve">S65</t>
  </si>
  <si>
    <t xml:space="preserve">ДИТ Москвы: закупка по 223-ФЗ «поставка ПО и сертификатов техподдержки ПО для управления стоимостью строительства», конкурс от 02.10.2026, 164,77 млн руб. (подача до…</t>
  </si>
  <si>
    <t xml:space="preserve">Закупка ДИТ Москвы — вне фокуса</t>
  </si>
  <si>
    <t xml:space="preserve">S66</t>
  </si>
  <si>
    <t xml:space="preserve">Травматизм 2025 по данным Роструда (пересказ): стройка +12% по тяжёлым случаям; 32% смертельных случаев в отрасли — падение с высоты; главная причина НС —…</t>
  </si>
  <si>
    <t xml:space="preserve">[Ф] (вторичные источники)</t>
  </si>
  <si>
    <t xml:space="preserve">M14, M1</t>
  </si>
  <si>
    <t xml:space="preserve">Травматизм: «неудовлетворительная организация работ» 22,6% — ППР (M1) + наряды-допуски (M14)</t>
  </si>
  <si>
    <t xml:space="preserve">S67</t>
  </si>
  <si>
    <t xml:space="preserve">3 Регуляторика (ОТ)</t>
  </si>
  <si>
    <t xml:space="preserve">Электронные наряды-допуски: коллизия со ст. 22.1 ТК (журналы инструктажей на бумаге с подписями); инспекторы переходят от проверки наличия к анализу содержания и…</t>
  </si>
  <si>
    <t xml:space="preserve">ЭНД и ст. 22.1 ТК; «пока нет записи в ЕИСОТ — не обучен» → валидатор M14</t>
  </si>
  <si>
    <t xml:space="preserve">S68</t>
  </si>
  <si>
    <t xml:space="preserve">10 Обход (эксплуатация/гарантия)</t>
  </si>
  <si>
    <t xml:space="preserve">УК как истец к застройщику: ВС РФ 07.03.2023 № 305-ЭС22-22698 — в гарантийный срок действует презумпция вины застройщика (5 лет на объект, 3 года на инженерное…</t>
  </si>
  <si>
    <t xml:space="preserve">Презумпция вины застройщика 5/3 года; УК как истец → регресс к субподрядчику по ИД</t>
  </si>
  <si>
    <t xml:space="preserve">S69</t>
  </si>
  <si>
    <t xml:space="preserve">Регуляторная текучесть 2026: с 01.09.2026 разрешения на строительство и ввод переходят на реестровую модель (304-ФЗ, приказ Минстроя 256/пр от 21.04.2026, форма 446/пр…</t>
  </si>
  <si>
    <t xml:space="preserve">M11, M12</t>
  </si>
  <si>
    <t xml:space="preserve">304-ФЗ реестровая модель с 01.09.2026 — в календаре</t>
  </si>
  <si>
    <t xml:space="preserve">S70</t>
  </si>
  <si>
    <t xml:space="preserve">Renga: «сыровата», стили не переносятся между проектами, требовательна к железу, дорого для малых; в регионах — слабые серверы, нестабильный интернет, слабая поддержка;…</t>
  </si>
  <si>
    <t xml:space="preserve">Renga — САПР</t>
  </si>
  <si>
    <t xml:space="preserve">S71</t>
  </si>
  <si>
    <t xml:space="preserve">Pragmacore: пользователь разоблачил отзыв маркетинг-менеджера вендора (06.02.2025) — повторный признак накрутки отзывов в категории; пользователи «ждут модуль журнал…</t>
  </si>
  <si>
    <t xml:space="preserve">[М] / нет данных</t>
  </si>
  <si>
    <t xml:space="preserve">Накрутка отзывов — методологическая оговорка</t>
  </si>
  <si>
    <t xml:space="preserve">S72</t>
  </si>
  <si>
    <t xml:space="preserve">7 Рынок / 5 Уход ПО</t>
  </si>
  <si>
    <t xml:space="preserve">СиСофт (опрос 12 крупных компаний, 08–09.2025): 44% пользователей приостановят внедрение российских решений при возвращении западных вендоров; «существенное число»…</t>
  </si>
  <si>
    <t xml:space="preserve">[Ф]+[М] (заинтересованный исследователь)</t>
  </si>
  <si>
    <t xml:space="preserve">СиСофт/ТИМ — вне фокуса</t>
  </si>
  <si>
    <t xml:space="preserve">S73</t>
  </si>
  <si>
    <t xml:space="preserve">Аутсорсер ИД строит собственный софт: ПрофиПТО разработал программы для подготовки актов (−20% времени на акты) и параллельно работает в Exon, BuildDocs, системе ПИК;…</t>
  </si>
  <si>
    <t xml:space="preserve">M5, GTM</t>
  </si>
  <si>
    <t xml:space="preserve">Аутсорсер ИД пишет свой софт → white-label движка для аутсорсеров</t>
  </si>
  <si>
    <t xml:space="preserve">S74</t>
  </si>
  <si>
    <t xml:space="preserve">Инфраструктурные подрядчики: дебиторская задолженность 8 крупнейших членов НАИК &gt;500 млрд руб. (+147,2% г/г, 1 кв. 2026), просьба к правительству о моратории на…</t>
  </si>
  <si>
    <t xml:space="preserve">Дебиторка НАИК &gt;500 млрд ₽ (+147%) → платёжный конвейер, EOT-досье</t>
  </si>
  <si>
    <t xml:space="preserve">S75</t>
  </si>
  <si>
    <t xml:space="preserve">Круглый стол МТПП (04.2026): объём строительства −15% (янв–фев 2026), портфель заказов −25%, задолженность по проектному финансированию 9,95 трлн руб. на 01.02.2026,…</t>
  </si>
  <si>
    <t xml:space="preserve">Спад −15% — учтён в консервативном сценарии</t>
  </si>
  <si>
    <t xml:space="preserve">S76</t>
  </si>
  <si>
    <t xml:space="preserve">Ограничения на иностранную рабочую силу: с 01.01.2026 в большинстве регионов — не более 50% иностранцев на стройках; квота на визовых работников 2025 — 234,9 тыс.;…</t>
  </si>
  <si>
    <t xml:space="preserve">Потолок 50% иностранцев → проверка доли в «паспорте допуска»</t>
  </si>
  <si>
    <t xml:space="preserve">S77</t>
  </si>
  <si>
    <t xml:space="preserve">ОЧЕВИДНЫЙ (сметы)</t>
  </si>
  <si>
    <t xml:space="preserve">«ИИ для смет»: спрос на сметчиков растёт (S02, S06), Exon добавил ИИ-функции для «исполняшек», сметные вендоры конкурируют на автоматизации КАЦ</t>
  </si>
  <si>
    <t xml:space="preserve">«ИИ для смет» — очевидное/красная зона</t>
  </si>
  <si>
    <t xml:space="preserve">S78</t>
  </si>
  <si>
    <t xml:space="preserve">ОЧЕВИДНЫЙ (фотоконтроль)</t>
  </si>
  <si>
    <t xml:space="preserve">«Контроль стройки по фото»: ДОМ.РФ оценивает цифровой стройконтроль в 13–20 млн экономии на ЖК 50 тыс. м²; банки и эскроу ИЖС требуют фото/видео; фотопротокол уже…</t>
  </si>
  <si>
    <t xml:space="preserve">Фотоконтроль — красная зона</t>
  </si>
  <si>
    <t xml:space="preserve">S79</t>
  </si>
  <si>
    <t xml:space="preserve">ОЧЕВИДНЫЙ (проектировщик)</t>
  </si>
  <si>
    <t xml:space="preserve">«ИИ-ассистент проектировщика/коллизии»: рынок после Autodesk фрагментирован (S32–S34), 850+ решений в реестре ДОМ.РФ</t>
  </si>
  <si>
    <t xml:space="preserve">ИИ-проектировщик — красная зона</t>
  </si>
  <si>
    <t xml:space="preserve">S80</t>
  </si>
  <si>
    <t xml:space="preserve">ОЧЕВИДНЫЙ (продажи)</t>
  </si>
  <si>
    <t xml:space="preserve">«Чат-бот/речевая аналитика застройщика»: продажи — уже один из самых цифровизированных этапов (44%); ДОМ.РФ приводит +13% конверсии от речевой аналитики</t>
  </si>
  <si>
    <t xml:space="preserve">Чат-боты продаж — исключено</t>
  </si>
  <si>
    <t xml:space="preserve">S81</t>
  </si>
  <si>
    <t xml:space="preserve">итерация 2 (проверка гипотез)</t>
  </si>
  <si>
    <t xml:space="preserve">hh.ru, активные вакансии по РФ, название+описание, снимок 14.10.2026: «инженер по гарантии» 178; «гарантийный отдел» 86 (совпало с итерацией 1 — метод воспроизводим);…</t>
  </si>
  <si>
    <t xml:space="preserve">[ФАКТ] одна платформа, один день</t>
  </si>
  <si>
    <t xml:space="preserve">hh: «инженер по гарантии» 178 — сегмент мал, но оформлен</t>
  </si>
  <si>
    <t xml:space="preserve">S82</t>
  </si>
  <si>
    <t xml:space="preserve">2024: арбитражные суды рассмотрели 100 424 спора по договорам подряда, ~70% удовлетворены, взыскано &gt;424 млрд руб., средний иск по строительному подряду ~9,4 млн руб.…</t>
  </si>
  <si>
    <t xml:space="preserve">[ФАКТ] вторичный</t>
  </si>
  <si>
    <t xml:space="preserve">100 424 спора по подряду в 2024, &gt;424 млрд ₽, средний иск 9,4 млн ₽ — масштаб боли M2</t>
  </si>
  <si>
    <t xml:space="preserve">S83</t>
  </si>
  <si>
    <t xml:space="preserve">В 2025 недочёты выявлены в 93% введённых МКД (центр «Аналитика. Бизнес. Право»); лимит компенсации 3% цены ДДУ не покрывает ремонт; принят ГОСТ Р 72509-2026 «Отделочные…</t>
  </si>
  <si>
    <t xml:space="preserve">[ФАКТ]+[МНЕНИЕ]</t>
  </si>
  <si>
    <t xml:space="preserve">93% МКД с дефектами; ГОСТ Р 72509 — наш M8</t>
  </si>
  <si>
    <t xml:space="preserve">S84</t>
  </si>
  <si>
    <t xml:space="preserve">Мораторий на неустойки отменён с 01.01.2026; в 2024 — 78,2 тыс. исков дольщиков на ~50 млрд (+86%); в 2025 новых дел −45%; прогноз на 2026 — 80–100 тыс. исков, ~200…</t>
  </si>
  <si>
    <t xml:space="preserve">[ФАКТ]+[ОЦЕНКА] спикеров</t>
  </si>
  <si>
    <t xml:space="preserve">80–100 тыс. исков дольщиков в 2026 — давление на застройщиков → регресс к субподрядчикам</t>
  </si>
  <si>
    <t xml:space="preserve">S85</t>
  </si>
  <si>
    <t xml:space="preserve">Москвичи в 2025 взыскали с застройщиков &gt;1 млрд руб. за дефекты отделки (экспертизы Мосгосстройнадзора); «значительное число споров регулируется без суда»</t>
  </si>
  <si>
    <t xml:space="preserve">Москва &gt;1 млрд ₽ взыскано за дефекты отделки</t>
  </si>
  <si>
    <t xml:space="preserve">S86</t>
  </si>
  <si>
    <t xml:space="preserve">Контур.Приёмка недвижимости: внутренняя приёмка 250 ₽/объект, клиентская 500 ₽/объект; заказ-наряды субподрядчикам, акты по шаблону, API к 1С/MacroCRM; гарантийного…</t>
  </si>
  <si>
    <t xml:space="preserve">[ФАКТ]</t>
  </si>
  <si>
    <t xml:space="preserve">Контур.Приёмка 250/500 ₽/объект — приёмку не строим; M8 = пред-приёмка + юридический регресс</t>
  </si>
  <si>
    <t xml:space="preserve">S87</t>
  </si>
  <si>
    <t xml:space="preserve">Цены аутсорса казначейского сопровождения: ведение 49–89 тыс. ₽/мес (kazna-gov), 105 тыс. ₽/мес фикс (kaznaexpert); «спасение контракта» от 35 тыс.; восстановление…</t>
  </si>
  <si>
    <t xml:space="preserve">[ФАКТ] прайсы консультантов</t>
  </si>
  <si>
    <t xml:space="preserve">Аутсорс казначейского сопровождения 49–105 тыс. ₽/мес — плательщик есть</t>
  </si>
  <si>
    <t xml:space="preserve">S88</t>
  </si>
  <si>
    <t xml:space="preserve">Приказ Минфина № 12н (ноябрь 2025): раздельный учёт стал самостоятельным приоритетным объектом контроля, на его основе формируется риск-профиль проекта; «казначейство…</t>
  </si>
  <si>
    <t xml:space="preserve">[МНЕНИЕ]</t>
  </si>
  <si>
    <t xml:space="preserve">Приказ Минфина 12н: раздельный учёт — риск-профиль → пречек платёжного пакета</t>
  </si>
  <si>
    <t xml:space="preserve">S89</t>
  </si>
  <si>
    <t xml:space="preserve">ПТО-ИИ (pto-ai.com): AI-проверка пакета ИД по 344/пр, СП 48, СП 70 — полнота/содержание/оформление, отчёт за 15 мин, от 49 900 ₽/мес, первые 100 страниц бесплатно;…</t>
  </si>
  <si>
    <t xml:space="preserve">[ФАКТ] цена; [МНЕНИЕ] вендора — метрики</t>
  </si>
  <si>
    <t xml:space="preserve">M5</t>
  </si>
  <si>
    <t xml:space="preserve">ПТО-ИИ 49 900 ₽/мес, безлимит объектов — ИИ-проверка ИД занята; M5 только pay-per-doc/«наследие»</t>
  </si>
  <si>
    <t xml:space="preserve">S90</t>
  </si>
  <si>
    <t xml:space="preserve">HARDROLLER: ИД-сервис 3 000 ₽/мес за пользователя (30 000 ₽/год), автоматические проверки несоответствия дат и отсутствия документов; отзыв «ИД по 10 объектам ведут 2…</t>
  </si>
  <si>
    <t xml:space="preserve">[ФАКТ] цена; [МНЕНИЕ] отзыв</t>
  </si>
  <si>
    <t xml:space="preserve">HARDROLLER 3 000 ₽/польз. — уже в карте конкурентов iter 4</t>
  </si>
  <si>
    <t xml:space="preserve">S91</t>
  </si>
  <si>
    <t xml:space="preserve">AIARM (aiarm.ru): универсальный ИИ-анализ документов, отраслевой сценарий «проверка КС-2/КС-3 — сверка с договором, сметой и предыдущими актами», генерация претензий,…</t>
  </si>
  <si>
    <t xml:space="preserve">AIARM: сверка КС-2/КС-3 + генерация претензий + калькулятор неустойки — жёлтая зона для M2; отличие — доставка/таймеры/доказательства/формы</t>
  </si>
  <si>
    <t xml:space="preserve">S92</t>
  </si>
  <si>
    <t xml:space="preserve">«Тенденция последних лет — системы автоматического распознавания ИД: программа сопоставляет данные из отсканированных АОСР с позициями в КС-2»</t>
  </si>
  <si>
    <t xml:space="preserve">[МНЕНИЕ] аутсорсера</t>
  </si>
  <si>
    <t xml:space="preserve">OCR АОСР ↔ позиции КС-2 — тренд, подтверждает P4</t>
  </si>
  <si>
    <t xml:space="preserve">S93</t>
  </si>
  <si>
    <t xml:space="preserve">КАЦ как услуга: 50–70 ₽/позиция (верификация готовых КП), 250+ ₽/позиция (полный сбор 3 КП, книга прайсов); кейс: 27 позиций → 81 КП от 45 поставщиков. Программы:…</t>
  </si>
  <si>
    <t xml:space="preserve">КАЦ-цены — сметы</t>
  </si>
  <si>
    <t xml:space="preserve">S94</t>
  </si>
  <si>
    <t xml:space="preserve">Противоречие по ЧЗ для подрядчика: Гарант — строительная организация, покупающая маркированные материалы для работ, не является участником оборота и сведения о выводе не…</t>
  </si>
  <si>
    <t xml:space="preserve">[ФАКТ] противоречие зафиксировано</t>
  </si>
  <si>
    <t xml:space="preserve">Противоречие: является ли подрядчик участником оборота ЧЗ — юр. заключение до разработки</t>
  </si>
  <si>
    <t xml:space="preserve">S95</t>
  </si>
  <si>
    <t xml:space="preserve">Синтека (SRM для стройки): от 54 438 ₽/мес (653 260 ₽/год), «внутренняя нейросеть сопоставляет номенклатуру, единицы и стоимость в КП поставщиков»; ПУСК.Снабжение — от…</t>
  </si>
  <si>
    <t xml:space="preserve">Синтека 54 438 ₽/мес — ценовой якорь B2B-SaaS стройки; снабжение не строим</t>
  </si>
  <si>
    <t xml:space="preserve">S96</t>
  </si>
  <si>
    <t xml:space="preserve">Проверка иностранных работников автоматизирована: HRonBoard (расширение, РКЛ за 12 с, отзыв «крупная строительная компания, 2 500 иностранных сотрудников»),…</t>
  </si>
  <si>
    <t xml:space="preserve">HRonBoard/1С закрывают РКЛ — партнёрство, не разработка</t>
  </si>
  <si>
    <t xml:space="preserve">S97</t>
  </si>
  <si>
    <t xml:space="preserve">Реестр обученных лиц ЕИСОТ открыт для проверки по СНИЛС+ФИО или номеру протокола без авторизации; Роструд проводит автоматизированные проверки по реестру; «контроль…</t>
  </si>
  <si>
    <t xml:space="preserve">ЕИСОТ: открытая проверка по СНИЛС+ФИО → валидатор допуска</t>
  </si>
  <si>
    <t xml:space="preserve">S98</t>
  </si>
  <si>
    <t xml:space="preserve">В реестрах ФСА проверяемы только обязательные сертификаты, декларации и СГР; добровольные сертификаты ГОСТ Р, протоколы испытаний, паспорта качества, отказные письма…</t>
  </si>
  <si>
    <t xml:space="preserve">В ФСА проверяемы только обязательные сертификаты/декларации — ограничение валидатора документов качества</t>
  </si>
  <si>
    <t xml:space="preserve">S99</t>
  </si>
  <si>
    <t xml:space="preserve">Сравнение версий чертежей уже есть у платформ: Pilot-ICE — «автоматическое сравнение по геометрии и тексту двух версий чертежа», QR-контроль актуальности; Exon —…</t>
  </si>
  <si>
    <t xml:space="preserve">[ФАКТ] вендорские описания</t>
  </si>
  <si>
    <t xml:space="preserve">M11</t>
  </si>
  <si>
    <t xml:space="preserve">Сравнение версий чертежей есть у Pilot-ICE/Exon — не строим</t>
  </si>
  <si>
    <t xml:space="preserve">S100</t>
  </si>
  <si>
    <t xml:space="preserve">По материалам проверки крупного госзаказчика: на трёх объектах сметная стоимость выросла на 215% после многочисленных изменений ПД; Минстрой в 2026 разъяснял стоимость…</t>
  </si>
  <si>
    <t xml:space="preserve">M13, M11</t>
  </si>
  <si>
    <t xml:space="preserve">+215% стоимости после изменений ПД → конвейер ст. 743 и EOT</t>
  </si>
  <si>
    <t xml:space="preserve">S101</t>
  </si>
  <si>
    <t xml:space="preserve">Авторский надзор: лимит 0,2% от глав 1–9 ССР (гл. 12), для сложных объектов 0,5–1%; отсутствие подписи проектировщика в АОСР — отказ ГАСН; устные согласования замен —…</t>
  </si>
  <si>
    <t xml:space="preserve">Подпись проектировщика в АОСР — отказ ГАСН без неё → валидатор подписантов</t>
  </si>
  <si>
    <t xml:space="preserve">S102</t>
  </si>
  <si>
    <t xml:space="preserve">XML-сервисы под схемы Минстроя: XML1 (ИИ-конвертация Word/PDF → XML для ГГЭ/ЕГРЗ), DoXML (валидатор, база схем), docxml.ru/IT Audit (формы ИД в XML, включая АОСР, акт…</t>
  </si>
  <si>
    <t xml:space="preserve">XML1/DoXML/docxml занимают XML-конвертацию → XML в M5 только как часть пакета</t>
  </si>
  <si>
    <t xml:space="preserve">S103</t>
  </si>
  <si>
    <t xml:space="preserve">Модели ИИ в РФ (прайс Yandex AI Studio, открыт 14.10.2026, ₽ за 1 000 токенов вход/выход, с НДС): YandexGPT Pro 5.1 0,8/0,8; Alice AI LLM 0,5/1,2; YandexGPT Lite…</t>
  </si>
  <si>
    <t xml:space="preserve">[ФАКТ] Яндекс; [МНЕНИЕ] остальное</t>
  </si>
  <si>
    <t xml:space="preserve">стек</t>
  </si>
  <si>
    <t xml:space="preserve">Цены Yandex AI Studio: YandexGPT Pro 0,8 ₽; Qwen3 235B 0,5 ₽; gpt-oss-120b 0,3 ₽ за 1k токенов</t>
  </si>
  <si>
    <t xml:space="preserve">S104</t>
  </si>
  <si>
    <t xml:space="preserve">Контроль очевидности — первая выдача по «ИИ для строительства»: сметы (разбор ЛСР), коллизии (Tangl Check), видеоаналитика СИЗ/каски, чертёж→3D, графики, ответы…</t>
  </si>
  <si>
    <t xml:space="preserve">[ФАКТ] состав выдачи</t>
  </si>
  <si>
    <t xml:space="preserve">«Очевидные» ИИ-темы совпадают с нашими красными зонами</t>
  </si>
  <si>
    <t xml:space="preserve">S105</t>
  </si>
  <si>
    <t xml:space="preserve">Юрфирма: «около 65% строительных компаний сталкиваются с систематическими задержками оплаты, просрочка 3–9 мес.», «около 40% решений не исполняются добровольно», срок от…</t>
  </si>
  <si>
    <t xml:space="preserve">M2, P5</t>
  </si>
  <si>
    <t xml:space="preserve">65% компаний — задержки оплаты 3–9 мес; 40% решений не исполняются → «карта сделки» + исполнительный блок</t>
  </si>
  <si>
    <t xml:space="preserve">S106</t>
  </si>
  <si>
    <t xml:space="preserve">АГРМ просит ЦБ зафиксировать правила ПФ в ИЖС: банки меняют условия после заключения договоров с гражданами (1–3% → до 8%), нужен закрытый перечень документов для…</t>
  </si>
  <si>
    <t xml:space="preserve">[ФАКТ] обращение</t>
  </si>
  <si>
    <t xml:space="preserve">АГРМ → ЦБ: банки меняют условия ПФ ИЖС; нужен закрытый перечень документов → чек-лист банка в M6</t>
  </si>
  <si>
    <t xml:space="preserve">S107</t>
  </si>
  <si>
    <t xml:space="preserve">Контур.Закупки рекомендует субподрядчику «гигиеническую» проверку генподрядчика (ЕГРЮЛ, баланс, сумма арбитражей) через Контур.Фокус; генподрядчик обязан раскрыть…</t>
  </si>
  <si>
    <t xml:space="preserve">GTM, P3</t>
  </si>
  <si>
    <t xml:space="preserve">ЕИС раскрывает субподрядчиков &gt;10% цены (ПП 1466) → лид-листы; Контур.Закупки советует проверять ГП</t>
  </si>
  <si>
    <t xml:space="preserve">S108</t>
  </si>
  <si>
    <t xml:space="preserve">итерация 3 (опровержение)</t>
  </si>
  <si>
    <t xml:space="preserve">ЕИС: для строительства формируется структурированный акт «в разрезе конструктивных решений и видов работ», детализация по позициям сметы не обязательна, КС-2…</t>
  </si>
  <si>
    <t xml:space="preserve">Структурированный акт ЕИС без детализации по смете; Минстрой заменяет КС-2 унифицированной формой — госзаказ-ветка конвейера</t>
  </si>
  <si>
    <t xml:space="preserve">S109</t>
  </si>
  <si>
    <t xml:space="preserve">Цены ручной работы с КС-2: сверка КС-2 со сметой/договором — от 25 000 ₽ (Expertsmet, 10.10.2026); «профессиональная проверка КС2 — 1 000 руб.» (smeta-ekspertiza,…</t>
  </si>
  <si>
    <t xml:space="preserve">[ФАКТ] прайсы</t>
  </si>
  <si>
    <t xml:space="preserve">Сверка КС-2 вручную от 25 000 ₽ (или 1 000 ₽) — якоря для pay-per-doc «ворот оплаты»</t>
  </si>
  <si>
    <t xml:space="preserve">S110</t>
  </si>
  <si>
    <t xml:space="preserve">Аутсорс стройконтроля: 45 000 ₽/мес, в составе — входной контроль документов на материалы, контроль объёмов КС, проверка ИД (technadzor77, 19.06.2026); от 25 000 ₽…</t>
  </si>
  <si>
    <t xml:space="preserve">Аутсорс стройконтроля 45 тыс. ₽/мес — партнёр/реселлер</t>
  </si>
  <si>
    <t xml:space="preserve">S111</t>
  </si>
  <si>
    <t xml:space="preserve">Дорожная карта Минстроя по оптимизации ИД до 2027: реестровая модель, машиночитаемый вид без бумаги, сокращение подписантов и объёма ИД, консолидация форм в СП 543…</t>
  </si>
  <si>
    <t xml:space="preserve">Дорожная карта ИД до 2027: меньше подписантов и объёма, СП 543 → M5 «реестровый», не генератор форм</t>
  </si>
  <si>
    <t xml:space="preserve">S112</t>
  </si>
  <si>
    <t xml:space="preserve">1С:ERP 2.5.9 (2020): казначейское сопровождение госконтрактов — сведения об операциях с целевыми средствами, расходная декларация; модуль «Гособоронзаказ в 1С» ПРОФ —…</t>
  </si>
  <si>
    <t xml:space="preserve">1С:ERP ведёт отчётность казначейского сопровождения — конкурирующий слой, наш — пречек пакета</t>
  </si>
  <si>
    <t xml:space="preserve">S113</t>
  </si>
  <si>
    <t xml:space="preserve">Пороги КС в 2025: 50 млн ₽ для федеральных учреждений, 100 млн — регион/муниципалитет (pro-goszakaz, 20.08.2025); Казначейство за 2025: 3,5 млн цифровых контрактов на 12…</t>
  </si>
  <si>
    <t xml:space="preserve">Пороги КС 50/100 млн ₽; 3,5 млн цифровых проверок в 2025</t>
  </si>
  <si>
    <t xml:space="preserve">S114</t>
  </si>
  <si>
    <t xml:space="preserve">ФГИС ЦС: «фактически все регионы отметили проблему невысокого уровня наполняемости… количество текущих сметных цен крайне мало» (замминистра Музыченко, Стройгазета,…</t>
  </si>
  <si>
    <t xml:space="preserve">ФГИС ЦС — сметы</t>
  </si>
  <si>
    <t xml:space="preserve">S115</t>
  </si>
  <si>
    <t xml:space="preserve">ЭДО: 1С-ЭДО и Диадок сопоставляют номенклатуру поставщика автоматически после первого ручного сопоставления (по штрих-коду, коду или наименованию)</t>
  </si>
  <si>
    <t xml:space="preserve">ЭДО (Диадок/1С-ЭДО) сопоставляет номенклатуру — брать из API, не строить</t>
  </si>
  <si>
    <t xml:space="preserve">S116</t>
  </si>
  <si>
    <t xml:space="preserve">Гарантийные модули: Базис.Недвижимость — кейс «Сибиряк»: 43 дома в базе, 38 на модуле гарантии (16.01.2026); Wellsoft Elements — гарантийные заявки из УК назначаются…</t>
  </si>
  <si>
    <t xml:space="preserve">Базис.Недвижимость/Wellsoft/Техзор — гарантийные helpdesk-модули → M8 позиционировать как юридический регресс + ГОСТ</t>
  </si>
  <si>
    <t xml:space="preserve">S117</t>
  </si>
  <si>
    <t xml:space="preserve">Контур.Фокус: ИИ-анализ договоров с 11.08.2026 (риски высокий/средний/низкий за 5 мин, docx/PDF), тарифы от 29 760 ₽/год; СБИС «Проверка контрагентов» от 9 000 ₽/год с…</t>
  </si>
  <si>
    <t xml:space="preserve">Контур.Фокус ИИ-анализ договора (модификатор 6 900–9 900 ₽/год, 3 проверки бесплатно) — проверка договора = бесплатная функция; M2 = исполнение</t>
  </si>
  <si>
    <t xml:space="preserve">S118</t>
  </si>
  <si>
    <t xml:space="preserve">Переписка в мессенджерах как доказательство: допустима (ст. 75 АПК; Пленум ВС № 10 от 23.04.2019, п. 55) при установлении источника и момента фиксации; АС Московского…</t>
  </si>
  <si>
    <t xml:space="preserve">Переписка допустима, но не компенсирует дефекты первичных документов (А40-308575/2023) → валидатор полноты «карты сделки»</t>
  </si>
  <si>
    <t xml:space="preserve">S119</t>
  </si>
  <si>
    <t xml:space="preserve">ЕИСОТ: REST API Минтруда (руководство 2026.1, 19 методов, в т.ч. выборка записей реестра обученных лиц по фильтру; запросы — подписанные XML); личный кабинет…</t>
  </si>
  <si>
    <t xml:space="preserve">ЕИСОТ REST API 2026.1 (19 методов) — техническая основа «паспорта допуска 2.0»</t>
  </si>
  <si>
    <t xml:space="preserve">S120</t>
  </si>
  <si>
    <t xml:space="preserve">Аутсорс охраны труда: абонентское 30 000–45 000 ₽/мес, штатный специалист — 92 320 ₽/мес с накладными (paolymp, 03.07.2026); от 14 500 ₽/мес для малых (proschebiznes,…</t>
  </si>
  <si>
    <t xml:space="preserve">Аутсорс ОТ 14,5–45 тыс. ₽/мес против штатного 92 320 ₽ — якорь цены и канал</t>
  </si>
  <si>
    <t xml:space="preserve">S121</t>
  </si>
  <si>
    <t xml:space="preserve">НОСТРОЙ по поручению Минстроя ведёт Национальный реестр добросовестных производителей (с 2023), Знак качества с QR-кодом на страницу продукции, Лабораторный кластер с…</t>
  </si>
  <si>
    <t xml:space="preserve">Реестр добросовестных производителей НОСТРОЙ, Знак качества с QR — источник валидатора</t>
  </si>
  <si>
    <t xml:space="preserve">S122</t>
  </si>
  <si>
    <t xml:space="preserve">Электронный журнал авторского надзора: СП 246.1325800.2023 допускает ведение в электронном виде с УКЭП (п. 6.12), модуль «Журналы» в ЦУС (11.09.2025); продукт KT.Team…</t>
  </si>
  <si>
    <t xml:space="preserve">Электронный журнал АН — проектировщик, другой покупатель</t>
  </si>
  <si>
    <t xml:space="preserve">S123</t>
  </si>
  <si>
    <t xml:space="preserve">Размер рынка: 105 099 действующих членов строительных СРО на 01.01.2026, 246 СРО (pravdaosro, 29.01.2026, по Единому реестру); k-group [М] пишет «порядка 15 000 членов»…</t>
  </si>
  <si>
    <t xml:space="preserve">рынок</t>
  </si>
  <si>
    <t xml:space="preserve">105 099 членов 246 СРО (01.01.2026) — совпадает с SAM Capexly</t>
  </si>
  <si>
    <t xml:space="preserve">S124</t>
  </si>
  <si>
    <t xml:space="preserve">Закон «О поддержке развития технологий ИИ» принят Госдумой 08.07.2026, вступает 01.09.2026; маркировка аудио/видео на крупных платформах с 01.03.2027; законопроект об…</t>
  </si>
  <si>
    <t xml:space="preserve">регуляторика</t>
  </si>
  <si>
    <t xml:space="preserve">Закон об ИИ: принят 08.07.2026, с 01.09.2026 — учтён (243-ФЗ)</t>
  </si>
  <si>
    <t xml:space="preserve">S125</t>
  </si>
  <si>
    <t xml:space="preserve">OCR/VLM на русских документах: chandra — CER 0,51%, Qwen2.5-VL-7B — 0,54–0,64% на печатных документах (Habr, команда ЧЗ, 27.04.2026); Qwen3 VL 30B A3B — лучший на…</t>
  </si>
  <si>
    <t xml:space="preserve">[ФАКТ] тесты</t>
  </si>
  <si>
    <t xml:space="preserve">P4</t>
  </si>
  <si>
    <t xml:space="preserve">OCR: печатные CER 0,5%; рукопись — только Qwen3-VL с оговорками → рукописный ОЖР остаётся ограничением</t>
  </si>
  <si>
    <t xml:space="preserve">Исходный тезис</t>
  </si>
  <si>
    <t xml:space="preserve">Оценка F1</t>
  </si>
  <si>
    <t xml:space="preserve">Итоговая формулировка</t>
  </si>
  <si>
    <t xml:space="preserve">Опора</t>
  </si>
  <si>
    <t xml:space="preserve">Действие</t>
  </si>
  <si>
    <t xml:space="preserve">C01</t>
  </si>
  <si>
    <t xml:space="preserve">109/120 доказывает спрос</t>
  </si>
  <si>
    <t xml:space="preserve">Самооценка</t>
  </si>
  <si>
    <t xml:space="preserve">Скоринг — внутренний чек-лист; клиентских оплат он не доказывает.</t>
  </si>
  <si>
    <t xml:space="preserve">Все итерации, Дельта_120_v6</t>
  </si>
  <si>
    <t xml:space="preserve">Снять с сайта и инвесторского резюме</t>
  </si>
  <si>
    <t xml:space="preserve">C02</t>
  </si>
  <si>
    <t xml:space="preserve">125 сигналов независимо подтверждают продукт</t>
  </si>
  <si>
    <t xml:space="preserve">Ограниченная проверяемость</t>
  </si>
  <si>
    <t xml:space="preserve">Сохранены 125 пересказов. Четыре исходных внешних файла отсутствуют; независимость и флаги [Ф] не проверены.</t>
  </si>
  <si>
    <t xml:space="preserve">Iter6, §1; CrossCheck / Сигналы→Capexly</t>
  </si>
  <si>
    <t xml:space="preserve">Запросить исходный внешний пакет</t>
  </si>
  <si>
    <t xml:space="preserve">C03</t>
  </si>
  <si>
    <t xml:space="preserve">57 готовых сервисов / 53% продукта на запуске</t>
  </si>
  <si>
    <t xml:space="preserve">Не подтверждено</t>
  </si>
  <si>
    <t xml:space="preserve">57 записей: 41 клиентская, 11 платформенных, 5 GTM; есть родительские конвейеры и дочерние шаги. Фактической приёмки нет.</t>
  </si>
  <si>
    <t xml:space="preserve">BP_v2 / Каталог_57</t>
  </si>
  <si>
    <t xml:space="preserve">Заменить на статус конкретного сценария</t>
  </si>
  <si>
    <t xml:space="preserve">C04</t>
  </si>
  <si>
    <t xml:space="preserve">424 млрд / 100424 = средний иск 9,4 млн</t>
  </si>
  <si>
    <t xml:space="preserve">Арифметическое расхождение</t>
  </si>
  <si>
    <t xml:space="preserve">Если основания сопоставимы: 424 млрд / 100424 = 4,22 млн; при &gt;424 млрд — нижний ориентир, не точное среднее. Подряд не равен строительному подряду.</t>
  </si>
  <si>
    <t xml:space="preserve">BP_v2 §2; Iter4 §3</t>
  </si>
  <si>
    <t xml:space="preserve">Убрать 9,4 млн и перепроверить статистическую форму</t>
  </si>
  <si>
    <t xml:space="preserve">C05</t>
  </si>
  <si>
    <t xml:space="preserve">Все сценарии самофинансируются</t>
  </si>
  <si>
    <t xml:space="preserve">Противоречие</t>
  </si>
  <si>
    <t xml:space="preserve">Чувствительность v2 содержит -48 тыс. руб.; iter5 требует миллионы капитала. Зависит от состава команды, сроков платежей и скрытой работы основателя.</t>
  </si>
  <si>
    <t xml:space="preserve">BP_v2 / Чувствительность; Iter5 §7</t>
  </si>
  <si>
    <t xml:space="preserve">Считать кассовый разрыв в формульной модели</t>
  </si>
  <si>
    <t xml:space="preserve">C06</t>
  </si>
  <si>
    <t xml:space="preserve">Финансовая книга автоматически моделирует бизнес</t>
  </si>
  <si>
    <t xml:space="preserve">Техническое ограничение</t>
  </si>
  <si>
    <t xml:space="preserve">23 листа v2, ноль формул. Старые цифры сохранены как снимок, а не работающий расчёт.</t>
  </si>
  <si>
    <t xml:space="preserve">Capexly_BusinessPlan_v2.xlsx</t>
  </si>
  <si>
    <t xml:space="preserve">Новая модель: входы → формулы → проверки</t>
  </si>
  <si>
    <t xml:space="preserve">C07</t>
  </si>
  <si>
    <t xml:space="preserve">Любой корпоративный e-mail из реестра можно рекламно обрабатывать</t>
  </si>
  <si>
    <t xml:space="preserve">Риск / исправлено</t>
  </si>
  <si>
    <t xml:space="preserve">Открытый адрес и возможность отказа не заменяют предварительного согласия на рекламу. Персонализация сама по себе не даёт освобождения.</t>
  </si>
  <si>
    <t xml:space="preserve">BP_v2 §8; УФАС</t>
  </si>
  <si>
    <t xml:space="preserve">Входящие, рекомендации, партнёры и подтверждённое согласие</t>
  </si>
  <si>
    <t xml:space="preserve">C08</t>
  </si>
  <si>
    <t xml:space="preserve">243-ФЗ требует маркировать весь ИИ-контент с 01.03.2027</t>
  </si>
  <si>
    <t xml:space="preserve">Частично / сужено</t>
  </si>
  <si>
    <t xml:space="preserve">Прочитанная правовая аналитика различает первоначальный проект и принятый рамочный закон; универсальная обязанность автора не подтверждена.</t>
  </si>
  <si>
    <t xml:space="preserve">ГАРАНТ 12.10.2026</t>
  </si>
  <si>
    <t xml:space="preserve">Мониторить принятый текст и подзаконные акты</t>
  </si>
  <si>
    <t xml:space="preserve">C09</t>
  </si>
  <si>
    <t xml:space="preserve">Уведомления СРО: три рабочих дня</t>
  </si>
  <si>
    <t xml:space="preserve">Частично подтверждено</t>
  </si>
  <si>
    <t xml:space="preserve">Разъяснение СРО подтверждает срок со следующего дня после события и приказ 655/пр. Формы, предмет договора и применимая СРО уточняются.</t>
  </si>
  <si>
    <t xml:space="preserve">Разъяснение ipsro.ru</t>
  </si>
  <si>
    <t xml:space="preserve">Юрист утверждает правило для каждого типа СРО</t>
  </si>
  <si>
    <t xml:space="preserve">C10</t>
  </si>
  <si>
    <t xml:space="preserve">Штраф 100 тыс. за любой пропуск уведомления СРО</t>
  </si>
  <si>
    <t xml:space="preserve">Сумму не использовать без конкретной статьи, состава, субъекта, редакции и применимости. Исключение и административный штраф — разные последствия.</t>
  </si>
  <si>
    <t xml:space="preserve">BP_v2 §2, §8</t>
  </si>
  <si>
    <t xml:space="preserve">Удалить универсальную угрозу из оффера</t>
  </si>
  <si>
    <t xml:space="preserve">C11</t>
  </si>
  <si>
    <t xml:space="preserve">Нет ИД → можно автоматически остановить оплату</t>
  </si>
  <si>
    <t xml:space="preserve">Опасное обобщение</t>
  </si>
  <si>
    <t xml:space="preserve">Связь ИД с оплатой зависит от договора, факта работ, существенности и судебного контекста. Отказ подтверждает человек.</t>
  </si>
  <si>
    <t xml:space="preserve">Iter6 факты vs S-05</t>
  </si>
  <si>
    <t xml:space="preserve">Запрет автоматического стоп-платежа</t>
  </si>
  <si>
    <t xml:space="preserve">C12</t>
  </si>
  <si>
    <t xml:space="preserve">Хэш/TSP доказывает вручение, полномочия и юридическую силу</t>
  </si>
  <si>
    <t xml:space="preserve">Неверное отождествление</t>
  </si>
  <si>
    <t xml:space="preserve">Хэш — целостность; TSP — время; вручение, содержание пакета, подпись и полномочия — отдельные факты.</t>
  </si>
  <si>
    <t xml:space="preserve">P1/P2/P5, Iter3–5</t>
  </si>
  <si>
    <t xml:space="preserve">Раздельные доказательства и статусы</t>
  </si>
  <si>
    <t xml:space="preserve">C13</t>
  </si>
  <si>
    <t xml:space="preserve">Претензия всегда 30 дней от вручения; уклонение = вручение через 30 дней</t>
  </si>
  <si>
    <t xml:space="preserve">Не универсально</t>
  </si>
  <si>
    <t xml:space="preserve">Нельзя смешивать дату отправки, вручение/фикцию доставки и начало процессуального срока. Применимые закон и договор проверяет юрист.</t>
  </si>
  <si>
    <t xml:space="preserve">Iter4 / Спецификации_Wave1</t>
  </si>
  <si>
    <t xml:space="preserve">Параметризованное правило, без универсального таймера</t>
  </si>
  <si>
    <t xml:space="preserve">C14</t>
  </si>
  <si>
    <t xml:space="preserve">Ст.406 автоматически переносит срок; отказ без списка ничтожен</t>
  </si>
  <si>
    <t xml:space="preserve">Факты и правовой режим требуют квалификации. Система предлагает проект/расчёт, не изменяет договор и не выносит юридический вердикт.</t>
  </si>
  <si>
    <t xml:space="preserve">Iter4 спецификации; Iter5 суд_практика</t>
  </si>
  <si>
    <t xml:space="preserve">Предупреждение и ручное утверждение</t>
  </si>
  <si>
    <t xml:space="preserve">C15</t>
  </si>
  <si>
    <t xml:space="preserve">Подписка даёт 80–85% маржи; CAC нулевой</t>
  </si>
  <si>
    <t xml:space="preserve">Нужно учитывать проверку юриста/ПТО, часы основателя, поддержку, повторную обработку, налоги, доставку и продажи.</t>
  </si>
  <si>
    <t xml:space="preserve">BP_v2 §7</t>
  </si>
  <si>
    <t xml:space="preserve">Измерять по событиям и клиентским когортам</t>
  </si>
  <si>
    <t xml:space="preserve">C16</t>
  </si>
  <si>
    <t xml:space="preserve">Гранты и инвестиции придут в конкретный месяц</t>
  </si>
  <si>
    <t xml:space="preserve">План / не обязательство</t>
  </si>
  <si>
    <t xml:space="preserve">Условий отбора, подписанного договора и дат денег нет. Базовая касса без грантов; условные средства считать отдельно.</t>
  </si>
  <si>
    <t xml:space="preserve">BP_v2 §12</t>
  </si>
  <si>
    <t xml:space="preserve">Не финансировать обязательный найм ожиданиями гранта</t>
  </si>
  <si>
    <t xml:space="preserve">C17</t>
  </si>
  <si>
    <t xml:space="preserve">Нет аналогов в России</t>
  </si>
  <si>
    <t xml:space="preserve">Не доказано</t>
  </si>
  <si>
    <t xml:space="preserve">Архив сам называет AIARM, ПТО-ИИ, Контур и отраслевые системы. Различие конвейера — конкурентная гипотеза, не отсутствие альтернатив.</t>
  </si>
  <si>
    <t xml:space="preserve">Iter6 §9; BP_v2 §4</t>
  </si>
  <si>
    <t xml:space="preserve">Сравнивать один реальный сценарий и TCO</t>
  </si>
  <si>
    <t xml:space="preserve">C18</t>
  </si>
  <si>
    <t xml:space="preserve">Своя GPU / любой сервер в РФ автоматически соответствует 152-ФЗ</t>
  </si>
  <si>
    <t xml:space="preserve">Неверное упрощение</t>
  </si>
  <si>
    <t xml:space="preserve">Законность зависит от оператора, оснований, локализации, модели угроз, доступа, договоров и передач. Домашний GPU исключён внутренним правилом проекта, не по одному признаку закона.</t>
  </si>
  <si>
    <t xml:space="preserve">BP_v2 стек; Iter5 безопасность</t>
  </si>
  <si>
    <t xml:space="preserve">Обезличенные R&amp;D; утверждённый прод-контур</t>
  </si>
  <si>
    <t xml:space="preserve">C19</t>
  </si>
  <si>
    <t xml:space="preserve">Только допущен/не допущен исключает медицинские ПДн</t>
  </si>
  <si>
    <t xml:space="preserve">Не гарантировано</t>
  </si>
  <si>
    <t xml:space="preserve">Статус допуска может раскрывать сведения о здоровье и остаётся данными о человеке; нужна отдельная юридическая модель.</t>
  </si>
  <si>
    <t xml:space="preserve">Iter6 M14</t>
  </si>
  <si>
    <t xml:space="preserve">M14 HOLD до правовой и ИБ-оценки</t>
  </si>
  <si>
    <t xml:space="preserve">C20</t>
  </si>
  <si>
    <t xml:space="preserve">680+ источников доступны и проверены в приложении</t>
  </si>
  <si>
    <t xml:space="preserve">Невоспроизводимо</t>
  </si>
  <si>
    <t xml:space="preserve">Есть URL, доменные упоминания и пересказы. Количество поисков, материалов, доменов и независимых источников нельзя смешивать.</t>
  </si>
  <si>
    <t xml:space="preserve">Все отчёты / notes</t>
  </si>
  <si>
    <t xml:space="preserve">Реестр с различением URL и доменов</t>
  </si>
  <si>
    <t xml:space="preserve">C21</t>
  </si>
  <si>
    <t xml:space="preserve">Поэкземплярный учёт стройматериалов относится ко всем подрядчикам</t>
  </si>
  <si>
    <t xml:space="preserve">Дата 01.12.2026 фигурирует в публикациях; область — товарные группы и роли оборота. ЧЗ и М-29 — разные процессы.</t>
  </si>
  <si>
    <t xml:space="preserve">Iter6 / ЧЗ; муниципальная публикация</t>
  </si>
  <si>
    <t xml:space="preserve">S-50 HOLD до карты применимости</t>
  </si>
  <si>
    <t xml:space="preserve">C22</t>
  </si>
  <si>
    <t xml:space="preserve">ARR включает разовые документы / net churn улучшается pay-per-doc</t>
  </si>
  <si>
    <t xml:space="preserve">Методологически неверно</t>
  </si>
  <si>
    <t xml:space="preserve">MRR и ARR только повторяемая контрактная выручка; разовые документы и outcome отдельно. NRR по одинаковым когортам подписки.</t>
  </si>
  <si>
    <t xml:space="preserve">Iter5 меморандум; BP_v2 финмодель</t>
  </si>
  <si>
    <t xml:space="preserve">Вынести разовые платежи из MRR/NRR</t>
  </si>
  <si>
    <t xml:space="preserve">URL или домен</t>
  </si>
  <si>
    <t xml:space="preserve">Тип записи</t>
  </si>
  <si>
    <t xml:space="preserve">Где найдено / что проверено</t>
  </si>
  <si>
    <t xml:space="preserve">R0001</t>
  </si>
  <si>
    <t xml:space="preserve">http://region.council.gov.ru/activity/activities/round_tables/173840/</t>
  </si>
  <si>
    <t xml:space="preserve">URL из архива</t>
  </si>
  <si>
    <t xml:space="preserve">Capexly_Research_Report_Iter2.md:445</t>
  </si>
  <si>
    <t xml:space="preserve">Не перепроверено</t>
  </si>
  <si>
    <t xml:space="preserve">R0002</t>
  </si>
  <si>
    <t xml:space="preserve">http://shmelbeton.ru/pravila-tsentralizovannoj-postavki-betona</t>
  </si>
  <si>
    <t xml:space="preserve">Capexly_Research_Report_Iter2.md:400</t>
  </si>
  <si>
    <t xml:space="preserve">R0003</t>
  </si>
  <si>
    <t xml:space="preserve">https://100tonn.com/vhodnoy-kontrol-materialov-i-oborudovaniya-chto-proveryayut-do-montazha/</t>
  </si>
  <si>
    <t xml:space="preserve">Capexly_Research_Report_Iter2.md:489</t>
  </si>
  <si>
    <t xml:space="preserve">R0004</t>
  </si>
  <si>
    <t xml:space="preserve">https://101-app.com/blog/nds-5-procentov-2026-usn</t>
  </si>
  <si>
    <t xml:space="preserve">Capexly_Research_Report_Iter2.md:384</t>
  </si>
  <si>
    <t xml:space="preserve">R0005</t>
  </si>
  <si>
    <t xml:space="preserve">https://101-app.com/blog/nds-v-stroitelstve-2026-stavki-usn-dogovory-scheta-faktury</t>
  </si>
  <si>
    <t xml:space="preserve">Capexly_Research_Report_Iter2.md:383</t>
  </si>
  <si>
    <t xml:space="preserve">R0006</t>
  </si>
  <si>
    <t xml:space="preserve">https://1c-o.ru/blog/articles/1s-sverka-avtomaticheskaya-sverka-dokumentov-s-kontragentami-kak-podklyuchit-i-ispolzovat</t>
  </si>
  <si>
    <t xml:space="preserve">Capexly_Research_Report_Iter2.md:490</t>
  </si>
  <si>
    <t xml:space="preserve">R0007</t>
  </si>
  <si>
    <t xml:space="preserve">https://1seller.ru/ii-v-proverke-stroitelnoj-dokumentatsii-polnoe-rukovodstvo</t>
  </si>
  <si>
    <t xml:space="preserve">Capexly_Research_Report_Iter2.md:453</t>
  </si>
  <si>
    <t xml:space="preserve">R0008</t>
  </si>
  <si>
    <t xml:space="preserve">https://action-market.ru/blog/ohrana-truda/dezhurnye-siz-aktualnoe-rukovodstvo-dlya-rabotodatelej/</t>
  </si>
  <si>
    <t xml:space="preserve">Capexly_Research_Report_Iter2.md:375</t>
  </si>
  <si>
    <t xml:space="preserve">R0009</t>
  </si>
  <si>
    <t xml:space="preserve">https://allweb.ru/novosti-it/samolet-zapystil-analog-microsoft-project-dlia-stroitelei/</t>
  </si>
  <si>
    <t xml:space="preserve">Capexly_Research_Report_Iter2.md:422</t>
  </si>
  <si>
    <t xml:space="preserve">R0010</t>
  </si>
  <si>
    <t xml:space="preserve">https://banamind.ai/construction-progress-tracking/ai-construction-delay-analysis-software</t>
  </si>
  <si>
    <t xml:space="preserve">Capexly_Research_Report_Iter2.md:474</t>
  </si>
  <si>
    <t xml:space="preserve">R0011</t>
  </si>
  <si>
    <t xml:space="preserve">https://base.garant.ru/55724541/</t>
  </si>
  <si>
    <t xml:space="preserve">Capexly_Research_Report_Iter2.md:488</t>
  </si>
  <si>
    <t xml:space="preserve">R0012</t>
  </si>
  <si>
    <t xml:space="preserve">https://bnkirov.ru/news/o-zhkkh-dostupno/zakonno-i-v-interesakh-grazhdan-fkr-rasskazal-o-zaklyuchennykh-kontraktakh/</t>
  </si>
  <si>
    <t xml:space="preserve">Capexly_Research_Report_Iter2.md:432</t>
  </si>
  <si>
    <t xml:space="preserve">R0013</t>
  </si>
  <si>
    <t xml:space="preserve">https://centertruda.ru/proverka-znanij-po-ohrane-truda/</t>
  </si>
  <si>
    <t xml:space="preserve">Capexly_Research_Report_Iter2.md:363</t>
  </si>
  <si>
    <t xml:space="preserve">R0014</t>
  </si>
  <si>
    <t xml:space="preserve">https://coko1.ru/articles/protection/medosmotry-po-ohrane-truda-dorozhnaya-karta-dlya-rukovoditelej-i-sotov/</t>
  </si>
  <si>
    <t xml:space="preserve">Capexly_Research_Report_Iter2.md:370</t>
  </si>
  <si>
    <t xml:space="preserve">R0015</t>
  </si>
  <si>
    <t xml:space="preserve">https://czilninskij-r73.gosweb.gosuslugi.ru/deyatelnost/napravleniya-deyatelnosti/pravovye-novosti-pravovaya-pomosch/pravovye-novosti-prokuror-razyasnyaet/novosti-1_3142.html</t>
  </si>
  <si>
    <t xml:space="preserve">Capexly_Research_Report_Iter2.md:377</t>
  </si>
  <si>
    <t xml:space="preserve">R0016</t>
  </si>
  <si>
    <t xml:space="preserve">https://dancumberlandlabs.com/blog/ai-construction-estimating-software/</t>
  </si>
  <si>
    <t xml:space="preserve">Capexly_Research_Report_Iter2.md:476</t>
  </si>
  <si>
    <t xml:space="preserve">R0017</t>
  </si>
  <si>
    <t xml:space="preserve">https://delayclaimbuilder.com/</t>
  </si>
  <si>
    <t xml:space="preserve">Capexly_Research_Report_Iter2.md:475</t>
  </si>
  <si>
    <t xml:space="preserve">R0018</t>
  </si>
  <si>
    <t xml:space="preserve">https://digitaldeveloper.ru/articles/tsifrovizatsiya/iskusstvennii-intellekt-na-stroike-shest</t>
  </si>
  <si>
    <t xml:space="preserve">Capexly_Research_Report_Iter2.md:417</t>
  </si>
  <si>
    <t xml:space="preserve">R0019</t>
  </si>
  <si>
    <t xml:space="preserve">https://dom.aspec.ru/media/trebovaniya-k-zastrojshhiku-po-214-fz-kakie-pravila-dolzhny-soblyudat-stroitelnye-kompanii-v-2025-godu</t>
  </si>
  <si>
    <t xml:space="preserve">Capexly_Research_Report_Iter2.md:430</t>
  </si>
  <si>
    <t xml:space="preserve">R0020</t>
  </si>
  <si>
    <t xml:space="preserve">https://doverie-el.ru/smeta-s-pomoshchyu-ii/</t>
  </si>
  <si>
    <t xml:space="preserve">Capexly_Research_Report_Iter2.md:416</t>
  </si>
  <si>
    <t xml:space="preserve">R0021</t>
  </si>
  <si>
    <t xml:space="preserve">https://dtf.ru/top_rating/4088124-reyting-neyrosetey-dlya-yuristov</t>
  </si>
  <si>
    <t xml:space="preserve">Capexly_Research_Report_Iter2.md:455</t>
  </si>
  <si>
    <t xml:space="preserve">R0022</t>
  </si>
  <si>
    <t xml:space="preserve">https://easytakeoffs.com/blog/best-ai-takeoff-software</t>
  </si>
  <si>
    <t xml:space="preserve">Capexly_Research_Report_Iter2.md:478</t>
  </si>
  <si>
    <t xml:space="preserve">R0023</t>
  </si>
  <si>
    <t xml:space="preserve">https://ecoprofi.ru/poleznye-statii/pnoolr-rasshifrovka</t>
  </si>
  <si>
    <t xml:space="preserve">Capexly_Research_Report_Iter2.md:349</t>
  </si>
  <si>
    <t xml:space="preserve">R0024</t>
  </si>
  <si>
    <t xml:space="preserve">https://ecopromcentr.ru/blog/limity-na-razmeschenie-othodov/</t>
  </si>
  <si>
    <t xml:space="preserve">Capexly_Research_Report_Iter2.md:351</t>
  </si>
  <si>
    <t xml:space="preserve">R0025</t>
  </si>
  <si>
    <t xml:space="preserve">https://ecostandardgroup.ru/journal/edinye-tipovye-normy-vydachi-siz-chto-nuzhno-uspet-k-2025-godu/</t>
  </si>
  <si>
    <t xml:space="preserve">Capexly_Research_Report_Iter2.md:374</t>
  </si>
  <si>
    <t xml:space="preserve">R0026</t>
  </si>
  <si>
    <t xml:space="preserve">https://els24.com/article/390-neustoyka-po-dogovoru-podryada/</t>
  </si>
  <si>
    <t xml:space="preserve">Capexly_Research_Report_Iter2.md:392</t>
  </si>
  <si>
    <t xml:space="preserve">R0027</t>
  </si>
  <si>
    <t xml:space="preserve">https://emchd.ru/blog/instrukczii/eczp-na-gosuslugah-v-2026-nastrojka-vhod-i-rabota-s-podpisyu/</t>
  </si>
  <si>
    <t xml:space="preserve">Capexly_Research_Report_Iter2.md:348</t>
  </si>
  <si>
    <t xml:space="preserve">R0028</t>
  </si>
  <si>
    <t xml:space="preserve">https://erzrf.ru/news/kak-izmenit-tsenu-kontrakta-pri-sushchestvennom-roste-stoimosti-stroitelnykh-resursov</t>
  </si>
  <si>
    <t xml:space="preserve">Capexly_Research_Report_Iter2.md:409</t>
  </si>
  <si>
    <t xml:space="preserve">R0029</t>
  </si>
  <si>
    <t xml:space="preserve">https://expertsmet.ru/articles/korrektirovka-smet-i-uchet-rosta-tsen-na-materialy/</t>
  </si>
  <si>
    <t xml:space="preserve">Capexly_Research_Report_Iter2.md:406</t>
  </si>
  <si>
    <t xml:space="preserve">R0030</t>
  </si>
  <si>
    <t xml:space="preserve">https://expertsmet.ru/articles/pereraschet-smet-pri-roste-tsen-kak-obosnovat-udorozhanie/</t>
  </si>
  <si>
    <t xml:space="preserve">Capexly_Research_Report_Iter2.md:405</t>
  </si>
  <si>
    <t xml:space="preserve">R0031</t>
  </si>
  <si>
    <t xml:space="preserve">https://federationigs.ru/news/tpost/jgf7yam1r1-5-problem-v-sfere-izhs-vtoraya-problema</t>
  </si>
  <si>
    <t xml:space="preserve">Capexly_Research_Report_Iter2.md:444</t>
  </si>
  <si>
    <t xml:space="preserve">R0032</t>
  </si>
  <si>
    <t xml:space="preserve">https://finance.rambler.ru/realty/56668753-54-podryadchikov-v-izhs-stolknulis-s-trudnostyami-pri-rabote-s-eskrou-schetami/</t>
  </si>
  <si>
    <t xml:space="preserve">Capexly_Research_Report_Iter2.md:442</t>
  </si>
  <si>
    <t xml:space="preserve">R0033</t>
  </si>
  <si>
    <t xml:space="preserve">https://focus.kontur.ru/site/news/85758-kak_proverit_dogovor_cherez_nejroset</t>
  </si>
  <si>
    <t xml:space="preserve">Capexly_Research_Report_Iter2.md:456</t>
  </si>
  <si>
    <t xml:space="preserve">R0034</t>
  </si>
  <si>
    <t xml:space="preserve">https://forum.dwg.ru/showthread.php?t=100928</t>
  </si>
  <si>
    <t xml:space="preserve">Capexly_Research_Report_Iter2.md:421</t>
  </si>
  <si>
    <t xml:space="preserve">R0035</t>
  </si>
  <si>
    <t xml:space="preserve">https://fpa.ru/info/umenshenie-neustojki-po-st-333-gk-rf-osnovanija-porjadok-sudebnaja-praktika/</t>
  </si>
  <si>
    <t xml:space="preserve">Capexly_Research_Report_Iter2.md:391</t>
  </si>
  <si>
    <t xml:space="preserve">R0036</t>
  </si>
  <si>
    <t xml:space="preserve">https://gektargroup.ru/uslugi/geodezicheskie-raboty/podschyet-obemov-zemlyanykh-rabot/</t>
  </si>
  <si>
    <t xml:space="preserve">Capexly_Research_Report_Iter2.md:341</t>
  </si>
  <si>
    <t xml:space="preserve">R0037</t>
  </si>
  <si>
    <t xml:space="preserve">https://geolider.ru/uslugi/podschet-ob-ema-zemlyanykh-rabot</t>
  </si>
  <si>
    <t xml:space="preserve">Capexly_Research_Report_Iter2.md:343</t>
  </si>
  <si>
    <t xml:space="preserve">R0038</t>
  </si>
  <si>
    <t xml:space="preserve">https://geomergroup.ru/uslugi/podschet-zemlyanyix-rabot/</t>
  </si>
  <si>
    <t xml:space="preserve">Capexly_Research_Report_Iter2.md:342</t>
  </si>
  <si>
    <t xml:space="preserve">R0039</t>
  </si>
  <si>
    <t xml:space="preserve">https://gk-adept.ru/programmy/adept_ispolntitelnaya_dokumentaciya/</t>
  </si>
  <si>
    <t xml:space="preserve">Capexly_Research_Report_Iter2.md:344</t>
  </si>
  <si>
    <t xml:space="preserve">R0040</t>
  </si>
  <si>
    <t xml:space="preserve">https://gk-adept.ru/programmy/adept_strojkontrol/</t>
  </si>
  <si>
    <t xml:space="preserve">Capexly_Research_Report_Iter2.md:449</t>
  </si>
  <si>
    <t xml:space="preserve">R0041</t>
  </si>
  <si>
    <t xml:space="preserve">https://gkhnews.ru/13174-regionalnyj-operator-otvechaet-za-kachestvo-rabot-podryadchika/</t>
  </si>
  <si>
    <t xml:space="preserve">Capexly_Research_Report_Iter2.md:435</t>
  </si>
  <si>
    <t xml:space="preserve">R0042</t>
  </si>
  <si>
    <t xml:space="preserve">https://habr.com/ru/articles/1017518/</t>
  </si>
  <si>
    <t xml:space="preserve">Capexly_Research_Report_Iter2.md:386</t>
  </si>
  <si>
    <t xml:space="preserve">R0043</t>
  </si>
  <si>
    <t xml:space="preserve">https://hightime.media/raiting-akseleratorov/</t>
  </si>
  <si>
    <t xml:space="preserve">Capexly_Research_Report_Iter2.md:466</t>
  </si>
  <si>
    <t xml:space="preserve">R0044</t>
  </si>
  <si>
    <t xml:space="preserve">https://iflat.io/lp/construction-control</t>
  </si>
  <si>
    <t xml:space="preserve">Capexly_Research_Report_Iter2.md:450</t>
  </si>
  <si>
    <t xml:space="preserve">R0045</t>
  </si>
  <si>
    <t xml:space="preserve">https://infogost.com/dokumenty-po-ekologii/razrabotka-pnoolr-dlya-predpriyatij</t>
  </si>
  <si>
    <t xml:space="preserve">Capexly_Research_Report_Iter2.md:353</t>
  </si>
  <si>
    <t xml:space="preserve">R0046</t>
  </si>
  <si>
    <t xml:space="preserve">https://injstroykapital.ru/lazernoe-skanirovanie</t>
  </si>
  <si>
    <t xml:space="preserve">Capexly_Research_Report_Iter2.md:394</t>
  </si>
  <si>
    <t xml:space="preserve">R0047</t>
  </si>
  <si>
    <t xml:space="preserve">https://injstroykapital.ru/tehnicheskoe-obsledovanie</t>
  </si>
  <si>
    <t xml:space="preserve">Capexly_Research_Report_Iter2.md:437</t>
  </si>
  <si>
    <t xml:space="preserve">R0048</t>
  </si>
  <si>
    <t xml:space="preserve">https://injstroykapital.ru/tehnicheskoe-obsledovanie/etapy-i-rezultaty-obsledovaniya/</t>
  </si>
  <si>
    <t xml:space="preserve">Capexly_Research_Report_Iter2.md:440</t>
  </si>
  <si>
    <t xml:space="preserve">R0049</t>
  </si>
  <si>
    <t xml:space="preserve">https://iskrabot.ru/cases/proverka-dogovora/</t>
  </si>
  <si>
    <t xml:space="preserve">Capexly_Research_Report_Iter2.md:454</t>
  </si>
  <si>
    <t xml:space="preserve">R0050</t>
  </si>
  <si>
    <t xml:space="preserve">https://itcom-expertiza.ru/blog/pravila-vneseniya-izmeneniy-v-proektnuyu-dokumentaciiyu/</t>
  </si>
  <si>
    <t xml:space="preserve">Capexly_Research_Report_Iter2.md:410</t>
  </si>
  <si>
    <t xml:space="preserve">R0051</t>
  </si>
  <si>
    <t xml:space="preserve">https://ivprom.ru/news/1669011487/</t>
  </si>
  <si>
    <t xml:space="preserve">Capexly_Research_Report_Iter2.md:412</t>
  </si>
  <si>
    <t xml:space="preserve">R0052</t>
  </si>
  <si>
    <t xml:space="preserve">https://journal.ecostandard.ru/ot/praktikum/neschastnye-sluchai-na-proizvodstve-pravovye-posledstviya-i-rekomendatsii-po-snizheniyu-riskov/</t>
  </si>
  <si>
    <t xml:space="preserve">Capexly_Research_Report_Iter2.md:376</t>
  </si>
  <si>
    <t xml:space="preserve">R0053</t>
  </si>
  <si>
    <t xml:space="preserve">https://konergy.ru/</t>
  </si>
  <si>
    <t xml:space="preserve">Capexly_Research_Report_Iter2.md:418</t>
  </si>
  <si>
    <t xml:space="preserve">R0054</t>
  </si>
  <si>
    <t xml:space="preserve">https://kvartira-bez-agenta.ru/glossarij-rieltora/proektnaya-deklaraciya-v-stroitelstve/</t>
  </si>
  <si>
    <t xml:space="preserve">Capexly_Research_Report_Iter2.md:427</t>
  </si>
  <si>
    <t xml:space="preserve">R0055</t>
  </si>
  <si>
    <t xml:space="preserve">https://lazertoposemka.ru/uslugi/lazernoe-skanirovanie/lazernoe-skanirovanie-zdaniy-i-nbsp-sooruzheniy/</t>
  </si>
  <si>
    <t xml:space="preserve">Capexly_Research_Report_Iter2.md:395</t>
  </si>
  <si>
    <t xml:space="preserve">R0056</t>
  </si>
  <si>
    <t xml:space="preserve">https://lenbeton.com/zakazchiku</t>
  </si>
  <si>
    <t xml:space="preserve">Capexly_Research_Report_Iter2.md:402</t>
  </si>
  <si>
    <t xml:space="preserve">R0057</t>
  </si>
  <si>
    <t xml:space="preserve">https://m350.ru/faq/6/</t>
  </si>
  <si>
    <t xml:space="preserve">Capexly_Research_Report_Iter2.md:399</t>
  </si>
  <si>
    <t xml:space="preserve">R0058</t>
  </si>
  <si>
    <t xml:space="preserve">https://mashagpt.ru/blog/neyroset-dlya-napisaniya-dogovorov</t>
  </si>
  <si>
    <t xml:space="preserve">Capexly_Research_Report_Iter2.md:457</t>
  </si>
  <si>
    <t xml:space="preserve">R0059</t>
  </si>
  <si>
    <t xml:space="preserve">https://mashagpt.ru/blog/neyroset-dlya-stroitelstva-i-developmenta-2026</t>
  </si>
  <si>
    <t xml:space="preserve">Capexly_Research_Report_Iter2.md:415</t>
  </si>
  <si>
    <t xml:space="preserve">R0060</t>
  </si>
  <si>
    <t xml:space="preserve">https://midural.ru/normative_documents/100615/100629/page2/document144606/</t>
  </si>
  <si>
    <t xml:space="preserve">Capexly_Research_Report_Iter2.md:379</t>
  </si>
  <si>
    <t xml:space="preserve">R0061</t>
  </si>
  <si>
    <t xml:space="preserve">https://mosoblreg.ru/kto-v-kompanii-mozhet-podpisyvat-dokumenty-etsp/</t>
  </si>
  <si>
    <t xml:space="preserve">Capexly_Research_Report_Iter2.md:347</t>
  </si>
  <si>
    <t xml:space="preserve">R0062</t>
  </si>
  <si>
    <t xml:space="preserve">https://mosplanirovka.ru/</t>
  </si>
  <si>
    <t xml:space="preserve">Capexly_Research_Report_Iter2.md:482</t>
  </si>
  <si>
    <t xml:space="preserve">R0063</t>
  </si>
  <si>
    <t xml:space="preserve">https://msk.injstroykapital.ru/tehnicheskoe-obsledovanie/kompleksnoe-tehnicheskoe-obsledovanie/</t>
  </si>
  <si>
    <t xml:space="preserve">Capexly_Research_Report_Iter2.md:439</t>
  </si>
  <si>
    <t xml:space="preserve">R0064</t>
  </si>
  <si>
    <t xml:space="preserve">https://nalog-nalog.ru/nds/nds-v-stroitelstve-2026-stavki-smety-razdelnyj-uchet-i-vozmeshenie/</t>
  </si>
  <si>
    <t xml:space="preserve">Capexly_Research_Report_Iter2.md:385</t>
  </si>
  <si>
    <t xml:space="preserve">R0065</t>
  </si>
  <si>
    <t xml:space="preserve">https://ncpo.ru/povyshenie-kvalifikatsii/obuchenie-rabotam-na-vysote/</t>
  </si>
  <si>
    <t xml:space="preserve">Capexly_Research_Report_Iter2.md:365</t>
  </si>
  <si>
    <t xml:space="preserve">R0066</t>
  </si>
  <si>
    <t xml:space="preserve">https://newpresnya.ru/obrazec-zapolneniya-proektnoi-deklaracii-proverte-proektnuyu/</t>
  </si>
  <si>
    <t xml:space="preserve">Capexly_Research_Report_Iter2.md:431</t>
  </si>
  <si>
    <t xml:space="preserve">R0067</t>
  </si>
  <si>
    <t xml:space="preserve">https://nikta.ai/blog/luchshie-ii-agenty-dlya-biznesa-v-rossii-polnyy-gid-20252026</t>
  </si>
  <si>
    <t xml:space="preserve">Capexly_Research_Report_Iter2.md:468</t>
  </si>
  <si>
    <t xml:space="preserve">R0068</t>
  </si>
  <si>
    <t xml:space="preserve">https://normativ.org/lib/ohrana-truda/novye-pravila-psikhiatricheskogo-osvidetelstvovaniya-rabotnikov-po-prikazu-342n/</t>
  </si>
  <si>
    <t xml:space="preserve">Capexly_Research_Report_Iter2.md:367</t>
  </si>
  <si>
    <t xml:space="preserve">R0069</t>
  </si>
  <si>
    <t xml:space="preserve">https://noroots.ru/</t>
  </si>
  <si>
    <t xml:space="preserve">Capexly_Research_Report_Iter2.md:458</t>
  </si>
  <si>
    <t xml:space="preserve">R0070</t>
  </si>
  <si>
    <t xml:space="preserve">https://os1.ru/article/14879-organizatsiya-protsessa-dostavki-betona-avtobetonosmesitelyami-kogda-na-stroyke-nujen-beton</t>
  </si>
  <si>
    <t xml:space="preserve">Capexly_Research_Report_Iter2.md:401</t>
  </si>
  <si>
    <t xml:space="preserve">R0071</t>
  </si>
  <si>
    <t xml:space="preserve">https://otub.ru/news/kak-proverit-svedeniya-ob-obuchenii-po-okhrane-truda/</t>
  </si>
  <si>
    <t xml:space="preserve">Capexly_Research_Report_Iter2.md:361</t>
  </si>
  <si>
    <t xml:space="preserve">R0072</t>
  </si>
  <si>
    <t xml:space="preserve">https://palcode.ai/blog/ai-takeoff-software-construction-comparison</t>
  </si>
  <si>
    <t xml:space="preserve">Capexly_Research_Report_Iter2.md:477</t>
  </si>
  <si>
    <t xml:space="preserve">R0073</t>
  </si>
  <si>
    <t xml:space="preserve">https://panaceyamed.ru/articles/periodicheskii-medosmotr-rabotnikov-2026/</t>
  </si>
  <si>
    <t xml:space="preserve">Capexly_Research_Report_Iter2.md:368</t>
  </si>
  <si>
    <t xml:space="preserve">R0074</t>
  </si>
  <si>
    <t xml:space="preserve">https://pbprog.ru/journal/instructions/362368</t>
  </si>
  <si>
    <t xml:space="preserve">Capexly_Research_Report_Iter2.md:345</t>
  </si>
  <si>
    <t xml:space="preserve">R0075</t>
  </si>
  <si>
    <t xml:space="preserve">https://pereplan-one.ru/stati/obsledovanie-tehnicheskogo-sostoyaniya-zdanij-gost-31937-2024.html</t>
  </si>
  <si>
    <t xml:space="preserve">Capexly_Research_Report_Iter2.md:438</t>
  </si>
  <si>
    <t xml:space="preserve">R0076</t>
  </si>
  <si>
    <t xml:space="preserve">https://pib24.ru/articles/novosti/reestr-obucheniya-po-okhrane-truda/</t>
  </si>
  <si>
    <t xml:space="preserve">Capexly_Research_Report_Iter2.md:362</t>
  </si>
  <si>
    <t xml:space="preserve">R0077</t>
  </si>
  <si>
    <t xml:space="preserve">https://picktech.ru/catalog/construction-management-software/</t>
  </si>
  <si>
    <t xml:space="preserve">Capexly_Research_Report_Iter2.md:424</t>
  </si>
  <si>
    <t xml:space="preserve">R0078</t>
  </si>
  <si>
    <t xml:space="preserve">https://pozhzashchitnik.ru/stati/kak-podgotovitsya-k-proverke-mchs/</t>
  </si>
  <si>
    <t xml:space="preserve">Capexly_Research_Report_Iter2.md:358</t>
  </si>
  <si>
    <t xml:space="preserve">R0079</t>
  </si>
  <si>
    <t xml:space="preserve">https://ppt.ru/art/zakupki/obzor-razyasneniy-minstroya-o-pravilakh-izmeneniya-stroykontraktov</t>
  </si>
  <si>
    <t xml:space="preserve">Capexly_Research_Report_Iter2.md:407</t>
  </si>
  <si>
    <t xml:space="preserve">R0080</t>
  </si>
  <si>
    <t xml:space="preserve">https://pravdaosro.ru/construction/ocenka-podryadchikov-izhs-po-srokam-novy/</t>
  </si>
  <si>
    <t xml:space="preserve">Capexly_Research_Report_Iter2.md:443</t>
  </si>
  <si>
    <t xml:space="preserve">R0081</t>
  </si>
  <si>
    <t xml:space="preserve">https://priority-geo.ru/blog/aerofotosemka-uchastka-dronom</t>
  </si>
  <si>
    <t xml:space="preserve">Capexly_Research_Report_Iter2.md:340</t>
  </si>
  <si>
    <t xml:space="preserve">R0082</t>
  </si>
  <si>
    <t xml:space="preserve">https://productradar.ru/blog/top-50-startapov-rossii-2026-god/</t>
  </si>
  <si>
    <t xml:space="preserve">Capexly_Research_Report_Iter2.md:463</t>
  </si>
  <si>
    <t xml:space="preserve">R0083</t>
  </si>
  <si>
    <t xml:space="preserve">https://progenai.sk.ru/files/110/gen2.pdf</t>
  </si>
  <si>
    <t xml:space="preserve">Capexly_Research_Report_Iter2.md:462</t>
  </si>
  <si>
    <t xml:space="preserve">R0084</t>
  </si>
  <si>
    <t xml:space="preserve">https://prompb.ru/project/vnesenie-izmeneniy-v-proektnuyu-dokumentaciyu/</t>
  </si>
  <si>
    <t xml:space="preserve">Capexly_Research_Report_Iter2.md:413</t>
  </si>
  <si>
    <t xml:space="preserve">R0085</t>
  </si>
  <si>
    <t xml:space="preserve">https://quotr.ai/blog/best-togal-ai-alternatives-2026/</t>
  </si>
  <si>
    <t xml:space="preserve">Capexly_Research_Report_Iter2.md:479</t>
  </si>
  <si>
    <t xml:space="preserve">R0086</t>
  </si>
  <si>
    <t xml:space="preserve">https://rosstandart.biz/product/razrabotka-pnoolr-proekt-othodov/</t>
  </si>
  <si>
    <t xml:space="preserve">Capexly_Research_Report_Iter2.md:350</t>
  </si>
  <si>
    <t xml:space="preserve">R0087</t>
  </si>
  <si>
    <t xml:space="preserve">https://ru-biss.ru/blog/stroitelnye-spory/snizhenie-neustoyki-sudomraschet-peni-za-narushenie-dogovoravzyskanie-neustoyki-s-podryadchika/</t>
  </si>
  <si>
    <t xml:space="preserve">Capexly_Research_Report_Iter2.md:389</t>
  </si>
  <si>
    <t xml:space="preserve">R0088</t>
  </si>
  <si>
    <t xml:space="preserve">https://schema.org</t>
  </si>
  <si>
    <t xml:space="preserve">landing/index.html:19</t>
  </si>
  <si>
    <t xml:space="preserve">R0089</t>
  </si>
  <si>
    <t xml:space="preserve">https://spb.safetycenter.ru/services/le-tekhnologicheskiy-reglament-obrashcheniya-s-otkhodami-stroitelstva/</t>
  </si>
  <si>
    <t xml:space="preserve">Capexly_Research_Report_Iter2.md:352</t>
  </si>
  <si>
    <t xml:space="preserve">R0090</t>
  </si>
  <si>
    <t xml:space="preserve">https://sro-ciz.ru/info/news/</t>
  </si>
  <si>
    <t xml:space="preserve">Capexly_Research_Report_Iter2.md:451</t>
  </si>
  <si>
    <t xml:space="preserve">R0091</t>
  </si>
  <si>
    <t xml:space="preserve">https://srvgeo.ru/services/aerofotosemka/aerofotosemka-s-bpla</t>
  </si>
  <si>
    <t xml:space="preserve">Capexly_Research_Report_Iter2.md:339</t>
  </si>
  <si>
    <t xml:space="preserve">R0092</t>
  </si>
  <si>
    <t xml:space="preserve">https://status-capital.com/blog/kak-proiti-proverku-mchs-chek-list/</t>
  </si>
  <si>
    <t xml:space="preserve">Capexly_Research_Report_Iter2.md:355</t>
  </si>
  <si>
    <t xml:space="preserve">R0093</t>
  </si>
  <si>
    <t xml:space="preserve">https://status-capital.com/blog/proverka-mchs-chek-list-2026/</t>
  </si>
  <si>
    <t xml:space="preserve">Capexly_Research_Report_Iter2.md:357</t>
  </si>
  <si>
    <t xml:space="preserve">R0094</t>
  </si>
  <si>
    <t xml:space="preserve">https://status-capital.com/uslugi/obsledovaniya/</t>
  </si>
  <si>
    <t xml:space="preserve">Capexly_Research_Report_Iter2.md:441</t>
  </si>
  <si>
    <t xml:space="preserve">R0095</t>
  </si>
  <si>
    <t xml:space="preserve">https://stroyproblem.net/instruction/kak-proverit-zastroishika-v-sissteme-eisgs-nash-dom-rf</t>
  </si>
  <si>
    <t xml:space="preserve">Capexly_Research_Report_Iter2.md:429</t>
  </si>
  <si>
    <t xml:space="preserve">R0096</t>
  </si>
  <si>
    <t xml:space="preserve">https://t-j.ru/news/extremism-stroyka/</t>
  </si>
  <si>
    <t xml:space="preserve">Capexly_Research_Report_Iter2.md:485</t>
  </si>
  <si>
    <t xml:space="preserve">R0097</t>
  </si>
  <si>
    <t xml:space="preserve">https://t-j.ru/priemka-ddu/</t>
  </si>
  <si>
    <t xml:space="preserve">Capexly_Research_Report_Iter2.md:483</t>
  </si>
  <si>
    <t xml:space="preserve">R0098</t>
  </si>
  <si>
    <t xml:space="preserve">https://t-j.ru/stroit-lu4she/</t>
  </si>
  <si>
    <t xml:space="preserve">Capexly_Research_Report_Iter2.md:481</t>
  </si>
  <si>
    <t xml:space="preserve">R0099</t>
  </si>
  <si>
    <t xml:space="preserve">https://t.rbc.ru/tyumen/18/03/2026/69b3f2d99a79479b8eea4151</t>
  </si>
  <si>
    <t xml:space="preserve">Capexly_Research_Report_Iter2.md:484</t>
  </si>
  <si>
    <t xml:space="preserve">R0100</t>
  </si>
  <si>
    <t xml:space="preserve">https://technokauf.ru/services/lazernoe-3d-skanirovanie/</t>
  </si>
  <si>
    <t xml:space="preserve">Capexly_Research_Report_Iter2.md:397</t>
  </si>
  <si>
    <t xml:space="preserve">R0101</t>
  </si>
  <si>
    <t xml:space="preserve">https://timeweb.com/ru/community/articles/top-10-neyrosetey-dlya-arhitektury-i-proektirovaniya-platnye-i-besplatnye-ii-generatory-2026-goda</t>
  </si>
  <si>
    <t xml:space="preserve">Capexly_Research_Report_Iter2.md:461</t>
  </si>
  <si>
    <t xml:space="preserve">R0102</t>
  </si>
  <si>
    <t xml:space="preserve">https://tproger.ru/articles/nejroseti-dlya-napisaniya-individualnogo-proekta--spisok-luchwih-ii-onlajn-generatorov-proektov</t>
  </si>
  <si>
    <t xml:space="preserve">Capexly_Research_Report_Iter2.md:459</t>
  </si>
  <si>
    <t xml:space="preserve">R0103</t>
  </si>
  <si>
    <t xml:space="preserve">https://unicornbase.ru/startups</t>
  </si>
  <si>
    <t xml:space="preserve">Capexly_Research_Report_Iter2.md:465</t>
  </si>
  <si>
    <t xml:space="preserve">R0104</t>
  </si>
  <si>
    <t xml:space="preserve">https://us-pro.ru/blog/vnesenie-izmenenij-v-rabochuyu-i-proektnuyu-dokumentaciyu</t>
  </si>
  <si>
    <t xml:space="preserve">Capexly_Research_Report_Iter2.md:414</t>
  </si>
  <si>
    <t xml:space="preserve">R0105</t>
  </si>
  <si>
    <t xml:space="preserve">https://vc.ru/ai/2939849-ii-na-zavode-kak-neiroseti-uskorayut-proizvodstvo</t>
  </si>
  <si>
    <t xml:space="preserve">Capexly_Research_Report_Iter2.md:460</t>
  </si>
  <si>
    <t xml:space="preserve">R0106</t>
  </si>
  <si>
    <t xml:space="preserve">https://vc.ru/ai/2986397-neyroseti-dlya-chertezhey-luchshie-servisy-ii-dlya-sozdaniya-chertezhey-onlayn</t>
  </si>
  <si>
    <t xml:space="preserve">Capexly_Research_Report_Iter2.md:419</t>
  </si>
  <si>
    <t xml:space="preserve">R0107</t>
  </si>
  <si>
    <t xml:space="preserve">https://vc.ru/growth/3072868-startapy-udivivshie-venchurnyj-rynok</t>
  </si>
  <si>
    <t xml:space="preserve">Capexly_Research_Report_Iter2.md:467</t>
  </si>
  <si>
    <t xml:space="preserve">R0108</t>
  </si>
  <si>
    <t xml:space="preserve">https://velvet-automatica.com/blog/otvetstvennost-za-nevydachu-siz</t>
  </si>
  <si>
    <t xml:space="preserve">Capexly_Research_Report_Iter2.md:371</t>
  </si>
  <si>
    <t xml:space="preserve">R0109</t>
  </si>
  <si>
    <t xml:space="preserve">https://veso.ru/</t>
  </si>
  <si>
    <t xml:space="preserve">Capexly_Research_Report_Iter2.md:396</t>
  </si>
  <si>
    <t xml:space="preserve">R0110</t>
  </si>
  <si>
    <t xml:space="preserve">https://vitruvisoftware.com/blog/ai-construction-delay-prediction</t>
  </si>
  <si>
    <t xml:space="preserve">Capexly_Research_Report_Iter2.md:471</t>
  </si>
  <si>
    <t xml:space="preserve">R0111</t>
  </si>
  <si>
    <t xml:space="preserve">https://vitvet.com/articles/stroitelnyj_podryad/postavwik_ne_postavil_materialy/</t>
  </si>
  <si>
    <t xml:space="preserve">Capexly_Research_Report_Iter2.md:398</t>
  </si>
  <si>
    <t xml:space="preserve">R0112</t>
  </si>
  <si>
    <t xml:space="preserve">https://vitvet.com/articles/stroitelnyj_podryad/vzyskanie_neustojki/</t>
  </si>
  <si>
    <t xml:space="preserve">Capexly_Research_Report_Iter2.md:388</t>
  </si>
  <si>
    <t xml:space="preserve">R0113</t>
  </si>
  <si>
    <t xml:space="preserve">https://vsr63.ru/blog/obyazatelnoe-psixiatricheskoe-osvidetelstvovanie-rabotnikov-opo/admin</t>
  </si>
  <si>
    <t xml:space="preserve">Capexly_Research_Report_Iter2.md:369</t>
  </si>
  <si>
    <t xml:space="preserve">R0114</t>
  </si>
  <si>
    <t xml:space="preserve">https://vstuplenie-sro.com/2025/05/19/osobennosti-uchastiya-v-tenderah-po-kapitalnomu-remontu/</t>
  </si>
  <si>
    <t xml:space="preserve">Capexly_Research_Report_Iter2.md:436</t>
  </si>
  <si>
    <t xml:space="preserve">R0115</t>
  </si>
  <si>
    <t xml:space="preserve">https://www.1cbit.ru/blog/programmy-dlya-stroitelnoy-organizatsii/</t>
  </si>
  <si>
    <t xml:space="preserve">Capexly_Research_Report_Iter2.md:423</t>
  </si>
  <si>
    <t xml:space="preserve">R0116</t>
  </si>
  <si>
    <t xml:space="preserve">https://www.a-sstroy.ru/article/309-edinye-tipovye-normy-vydachi-siz-s-1-yanvarya-2025-goda</t>
  </si>
  <si>
    <t xml:space="preserve">Capexly_Research_Report_Iter2.md:373</t>
  </si>
  <si>
    <t xml:space="preserve">R0117</t>
  </si>
  <si>
    <t xml:space="preserve">https://www.a-sstroy.ru/article/502-vhodnoy-kontrol-materialov-i-oborudovaniya</t>
  </si>
  <si>
    <t xml:space="preserve">Capexly_Research_Report_Iter2.md:487</t>
  </si>
  <si>
    <t xml:space="preserve">R0118</t>
  </si>
  <si>
    <t xml:space="preserve">https://www.bfm.ru/news/619220</t>
  </si>
  <si>
    <t xml:space="preserve">Capexly_Research_Report_Iter2.md:446</t>
  </si>
  <si>
    <t xml:space="preserve">R0119</t>
  </si>
  <si>
    <t xml:space="preserve">https://www.cleverence.ru/articles/bukhgalteriya/-akt-sverki-s-postavshchikom-chto-eto/</t>
  </si>
  <si>
    <t xml:space="preserve">Capexly_Research_Report_Iter2.md:486</t>
  </si>
  <si>
    <t xml:space="preserve">R0120</t>
  </si>
  <si>
    <t xml:space="preserve">https://www.consultant.ru/law/podborki/shtraf_za_neprohozhdenie_psihiatricheskogo_osvidetelstvovaniya/</t>
  </si>
  <si>
    <t xml:space="preserve">Capexly_Research_Report_Iter2.md:366</t>
  </si>
  <si>
    <t xml:space="preserve">R0121</t>
  </si>
  <si>
    <t xml:space="preserve">https://www.fontanka.ru/2025/01/31/75049316/</t>
  </si>
  <si>
    <t xml:space="preserve">Capexly_Research_Report_Iter2.md:434</t>
  </si>
  <si>
    <t xml:space="preserve">R0122</t>
  </si>
  <si>
    <t xml:space="preserve">https://www.garant-pskov.ru/gektor/gektor-kalendar-plan/</t>
  </si>
  <si>
    <t xml:space="preserve">Capexly_Research_Report_Iter2.md:420</t>
  </si>
  <si>
    <t xml:space="preserve">R0123</t>
  </si>
  <si>
    <t xml:space="preserve">https://www.glavbukh.ru/art/391209-novye-pravila-dlya-pojarnoy-bezopasnosti-v-2025-godu</t>
  </si>
  <si>
    <t xml:space="preserve">Capexly_Research_Report_Iter2.md:356</t>
  </si>
  <si>
    <t xml:space="preserve">R0124</t>
  </si>
  <si>
    <t xml:space="preserve">https://www.kontur-extern.ru/info/81877-usn_i_nds</t>
  </si>
  <si>
    <t xml:space="preserve">Capexly_Research_Report_Iter2.md:387</t>
  </si>
  <si>
    <t xml:space="preserve">R0125</t>
  </si>
  <si>
    <t xml:space="preserve">https://www.nalog.gov.ru/rn77/goskey/</t>
  </si>
  <si>
    <t xml:space="preserve">Capexly_Research_Report_Iter2.md:346</t>
  </si>
  <si>
    <t xml:space="preserve">R0126</t>
  </si>
  <si>
    <t xml:space="preserve">https://www.nomic.ai/compare/best-ai-for-cost-estimation</t>
  </si>
  <si>
    <t xml:space="preserve">Capexly_Research_Report_Iter2.md:480</t>
  </si>
  <si>
    <t xml:space="preserve">R0127</t>
  </si>
  <si>
    <t xml:space="preserve">https://www.obmery-zamery.ru/uslugi/lazernye-3d-obmery/skanirovanie-pomeshcheniy/</t>
  </si>
  <si>
    <t xml:space="preserve">Capexly_Research_Report_Iter2.md:393</t>
  </si>
  <si>
    <t xml:space="preserve">R0128</t>
  </si>
  <si>
    <t xml:space="preserve">https://www.pro-ability.ru/tpost/m7szgbgp71-kaznacheiskoe-soprovozhdenie-v-2025-godu</t>
  </si>
  <si>
    <t xml:space="preserve">Capexly_Research_Report_Iter2.md:433</t>
  </si>
  <si>
    <t xml:space="preserve">R0129</t>
  </si>
  <si>
    <t xml:space="preserve">https://www.sarex.io/construction-control</t>
  </si>
  <si>
    <t xml:space="preserve">Capexly_Research_Report_Iter2.md:452</t>
  </si>
  <si>
    <t xml:space="preserve">R0130</t>
  </si>
  <si>
    <t xml:space="preserve">https://www.snta.ru/press-center/izmeneniya-v-uk-rf-narusheniya-trebovaniy-bezopasnosti-v-khode-stroitelnykh-rabot-i-na-proizvodstve/</t>
  </si>
  <si>
    <t xml:space="preserve">Capexly_Research_Report_Iter2.md:378</t>
  </si>
  <si>
    <t xml:space="preserve">R0131</t>
  </si>
  <si>
    <t xml:space="preserve">https://www.sostav.ru/blogs/285950/78026</t>
  </si>
  <si>
    <t xml:space="preserve">Capexly_Research_Report_Iter2.md:364</t>
  </si>
  <si>
    <t xml:space="preserve">R0132</t>
  </si>
  <si>
    <t xml:space="preserve">https://www.tadviser.ru/index.php/Статья:Искусственный_интеллект_в_строительстве</t>
  </si>
  <si>
    <t xml:space="preserve">Capexly_Research_Report_Iter2.md:464</t>
  </si>
  <si>
    <t xml:space="preserve">R0133</t>
  </si>
  <si>
    <t xml:space="preserve">https://www.tspor.ru/article/2754-edinye-tipovye-normy-vydachi-siz</t>
  </si>
  <si>
    <t xml:space="preserve">Capexly_Research_Report_Iter2.md:372</t>
  </si>
  <si>
    <t xml:space="preserve">R0134</t>
  </si>
  <si>
    <t xml:space="preserve">https://www.vidhaana.com/blog/ai-construction-dispute-resolution-claims</t>
  </si>
  <si>
    <t xml:space="preserve">Capexly_Research_Report_Iter2.md:473</t>
  </si>
  <si>
    <t xml:space="preserve">R0135</t>
  </si>
  <si>
    <t xml:space="preserve">https://www.yeschat.ai/gpts-2OTocAIsnh-Project-Delay-Analyst</t>
  </si>
  <si>
    <t xml:space="preserve">Capexly_Research_Report_Iter2.md:472</t>
  </si>
  <si>
    <t xml:space="preserve">R0136</t>
  </si>
  <si>
    <t xml:space="preserve">https://zakon.guru/blog/Izmenenie_proektnoj_dokumentacii</t>
  </si>
  <si>
    <t xml:space="preserve">Capexly_Research_Report_Iter2.md:411</t>
  </si>
  <si>
    <t xml:space="preserve">R0137</t>
  </si>
  <si>
    <t xml:space="preserve">https://zakon.ru/Blogs/snizhenie_neustojki_po_st_333_gk_rf_chto_izmenilos_i_kak_eto_ispolzovat/117408</t>
  </si>
  <si>
    <t xml:space="preserve">Capexly_Research_Report_Iter2.md:390</t>
  </si>
  <si>
    <t xml:space="preserve">R0138</t>
  </si>
  <si>
    <t xml:space="preserve">https://zakupki-portal.ru/novosti/izmeneniya-zakonodatelstva-44-fz/minstroj-opredelil-kak-menyat-smetu-stroitelnogo-goskontrakta-pri-udorozhanii-materialov/</t>
  </si>
  <si>
    <t xml:space="preserve">Capexly_Research_Report_Iter2.md:408</t>
  </si>
  <si>
    <t xml:space="preserve">R0139</t>
  </si>
  <si>
    <t xml:space="preserve">https://zastroy.advokati-moscow.ru/214-fz/statya-19-proektnaya-deklaratsiya/</t>
  </si>
  <si>
    <t xml:space="preserve">Capexly_Research_Report_Iter2.md:428</t>
  </si>
  <si>
    <t xml:space="preserve">R0140</t>
  </si>
  <si>
    <t xml:space="preserve">https://охрана-труда.рф/oxrana-truda/уголовная-ответственность-сота.html</t>
  </si>
  <si>
    <t xml:space="preserve">Capexly_Research_Report_Iter2.md:380</t>
  </si>
  <si>
    <t xml:space="preserve">R0141</t>
  </si>
  <si>
    <t xml:space="preserve">https://противопожарныйаудит.рф/tpost/svnu42uin1-polnii-komplekt-dokumentov-po-pozharnoi</t>
  </si>
  <si>
    <t xml:space="preserve">Capexly_Research_Report_Iter2.md:354</t>
  </si>
  <si>
    <t xml:space="preserve">R0142</t>
  </si>
  <si>
    <t xml:space="preserve">100build.ru</t>
  </si>
  <si>
    <t xml:space="preserve">Домен, не ссылка на материал</t>
  </si>
  <si>
    <t xml:space="preserve">Capexly_Business_Plan_v1.md:556; Capexly_Business_Plan_v2.md:873</t>
  </si>
  <si>
    <t xml:space="preserve">Недостаточно для проверки тезиса</t>
  </si>
  <si>
    <t xml:space="preserve">R0143</t>
  </si>
  <si>
    <t xml:space="preserve">16aas.arbitr.ru</t>
  </si>
  <si>
    <t xml:space="preserve">notes_iter4.md:96; _iter4_sources_table.md:8; Capexly_Research_Report_Iter4.md:413</t>
  </si>
  <si>
    <t xml:space="preserve">R0144</t>
  </si>
  <si>
    <t xml:space="preserve">3dnews.ru</t>
  </si>
  <si>
    <t xml:space="preserve">_iter5_sources_table.md:13; notes_iter5.md:184; Capexly_Research_Report_Iter5.md:545</t>
  </si>
  <si>
    <t xml:space="preserve">R0145</t>
  </si>
  <si>
    <t xml:space="preserve">a-invest.pro</t>
  </si>
  <si>
    <t xml:space="preserve">_iter5_sources_table.md:7; notes_iter5.md:94; Capexly_Research_Report_Iter5.md:107; Capexly_Research_Report_Iter5.md:257; Capexly_Research_Report_Iter5.md:539</t>
  </si>
  <si>
    <t xml:space="preserve">R0146</t>
  </si>
  <si>
    <t xml:space="preserve">a2is.ru</t>
  </si>
  <si>
    <t xml:space="preserve">notes_iter4.md:26; notes_iter4.md:121; notes_iter4.md:123; _iter4_voice_table.md:13; _iter4_sources_table.md:4</t>
  </si>
  <si>
    <t xml:space="preserve">R0147</t>
  </si>
  <si>
    <t xml:space="preserve">abdc.spb.ru</t>
  </si>
  <si>
    <t xml:space="preserve">Capexly_Research_Report_Iter2.md:319; notes_iter2.md:25; _iter2_sources_table.md:4</t>
  </si>
  <si>
    <t xml:space="preserve">R0148</t>
  </si>
  <si>
    <t xml:space="preserve">academy.tsus.ru</t>
  </si>
  <si>
    <t xml:space="preserve">Capexly_Research_Report_Iter2.md:321; Capexly_Research_Report_Iter3.md:375; _iter3_sources_table.md:12; Capexly_Research_Report_Iter6_CrossCheck.md:419; Capexly_Research_Report_Iter6_CrossCheck.md:420</t>
  </si>
  <si>
    <t xml:space="preserve">R0149</t>
  </si>
  <si>
    <t xml:space="preserve">admmegion.ru</t>
  </si>
  <si>
    <t xml:space="preserve">Capexly_Research_Report_Iter3.md:366; _iter3_sources_table.md:3; Capexly_Research_Report_Iter6_CrossCheck.md:418; _iter6_sources_table.md:4; notes_iter3.md:17</t>
  </si>
  <si>
    <t xml:space="preserve">R0150</t>
  </si>
  <si>
    <t xml:space="preserve">advgazeta.ru</t>
  </si>
  <si>
    <t xml:space="preserve">Capexly_Research_Report_Iter2.md:323; notes_iter2.md:56; _iter2_sources_table.md:8; _iter5_sources_table.md:8; notes_iter5.md:108</t>
  </si>
  <si>
    <t xml:space="preserve">R0151</t>
  </si>
  <si>
    <t xml:space="preserve">advokat-digin.ru</t>
  </si>
  <si>
    <t xml:space="preserve">notes_iter4.md:12; _iter4_voice_table.md:7; _iter4_sources_table.md:3; Capexly_Research_Report_Iter4.md:56; Capexly_Research_Report_Iter4.md:408</t>
  </si>
  <si>
    <t xml:space="preserve">R0152</t>
  </si>
  <si>
    <t xml:space="preserve">aecfoundry.com</t>
  </si>
  <si>
    <t xml:space="preserve">Capexly_Research_Report_Iter2.md:122; Capexly_Research_Report_Iter2.md:325; notes_iter2.md:70; _iter2_sources_table.md:10</t>
  </si>
  <si>
    <t xml:space="preserve">R0153</t>
  </si>
  <si>
    <t xml:space="preserve">afm.ru</t>
  </si>
  <si>
    <t xml:space="preserve">notes_iter4.md:118; _iter4_sources_table.md:9; Capexly_Research_Report_Iter4.md:414</t>
  </si>
  <si>
    <t xml:space="preserve">R0154</t>
  </si>
  <si>
    <t xml:space="preserve">agredator.ru</t>
  </si>
  <si>
    <t xml:space="preserve">Capexly_Research_Report_Iter3.md:367; _iter3_sources_table.md:4; notes_iter3.md:38; notes_iter4.md:137; _iter4_sources_table.md:10</t>
  </si>
  <si>
    <t xml:space="preserve">R0155</t>
  </si>
  <si>
    <t xml:space="preserve">ai-journal.ru</t>
  </si>
  <si>
    <t xml:space="preserve">notes_iter4.md:99; _iter4_sources_table.md:8; Capexly_Research_Report_Iter4.md:413</t>
  </si>
  <si>
    <t xml:space="preserve">R0156</t>
  </si>
  <si>
    <t xml:space="preserve">aiarm.ru</t>
  </si>
  <si>
    <t xml:space="preserve">Capexly_Research_Report_Iter6_CrossCheck.md:220; Capexly_Research_Report_Iter6_CrossCheck.md:240; Capexly_Research_Report_Iter6_CrossCheck.md:417; Capexly_Research_Report_Iter6_CrossCheck.md:419; Capexly_Research_Report_Iter6_CrossCheck.md:522</t>
  </si>
  <si>
    <t xml:space="preserve">R0157</t>
  </si>
  <si>
    <t xml:space="preserve">aibotmanager.ru</t>
  </si>
  <si>
    <t xml:space="preserve">notes_iter4.md:43; _iter4_sources_table.md:5; Capexly_Research_Report_Iter4.md:410</t>
  </si>
  <si>
    <t xml:space="preserve">R0158</t>
  </si>
  <si>
    <t xml:space="preserve">aienter.ru</t>
  </si>
  <si>
    <t xml:space="preserve">notes_iter4.md:35; _iter4_sources_table.md:4; Capexly_Research_Report_Iter4.md:409</t>
  </si>
  <si>
    <t xml:space="preserve">R0159</t>
  </si>
  <si>
    <t xml:space="preserve">aihomebuilding.com</t>
  </si>
  <si>
    <t xml:space="preserve">Capexly_Research_Report_Iter2.md:325; notes_iter2.md:75; _iter2_sources_table.md:10</t>
  </si>
  <si>
    <t xml:space="preserve">R0160</t>
  </si>
  <si>
    <t xml:space="preserve">akm.ru</t>
  </si>
  <si>
    <t xml:space="preserve">Capexly_Research_Report_Iter6_CrossCheck.md:205; Capexly_Research_Report_Iter6_CrossCheck.md:419; _iter6_sources_table.md:5; _iter6_calendar_table.md:5; notes_iter6_cross.md:45</t>
  </si>
  <si>
    <t xml:space="preserve">R0161</t>
  </si>
  <si>
    <t xml:space="preserve">akot.rosmintrud.ru</t>
  </si>
  <si>
    <t xml:space="preserve">Capexly_Research_Report_Iter3.md:366; _iter3_sources_table.md:3; notes_iter3.md:18</t>
  </si>
  <si>
    <t xml:space="preserve">R0162</t>
  </si>
  <si>
    <t xml:space="preserve">akrasnov.ru</t>
  </si>
  <si>
    <t xml:space="preserve">notes_iter4.md:85; _iter4_sources_table.md:7; Capexly_Research_Report_Iter4.md:412</t>
  </si>
  <si>
    <t xml:space="preserve">R0163</t>
  </si>
  <si>
    <t xml:space="preserve">all-events.ru</t>
  </si>
  <si>
    <t xml:space="preserve">_iter5_sources_table.md:13; notes_iter5.md:186; Capexly_Research_Report_Iter5.md:545</t>
  </si>
  <si>
    <t xml:space="preserve">R0164</t>
  </si>
  <si>
    <t xml:space="preserve">all-sro.ru</t>
  </si>
  <si>
    <t xml:space="preserve">Capexly_Research_Report_Iter3.md:376; _iter3_sources_table.md:13; notes_iter3.md:217; notes_iter4.md:70; _iter4_sources_table.md:6</t>
  </si>
  <si>
    <t xml:space="preserve">R0165</t>
  </si>
  <si>
    <t xml:space="preserve">allestate.pro</t>
  </si>
  <si>
    <t xml:space="preserve">notes_iter4.md:184; _iter4_sources_table.md:12; Capexly_Research_Report_Iter4.md:417</t>
  </si>
  <si>
    <t xml:space="preserve">R0166</t>
  </si>
  <si>
    <t xml:space="preserve">allo.tochka.com</t>
  </si>
  <si>
    <t xml:space="preserve">Capexly_Research_Report_Iter3.md:372; _iter3_sources_table.md:9; notes_iter3.md:132</t>
  </si>
  <si>
    <t xml:space="preserve">R0167</t>
  </si>
  <si>
    <t xml:space="preserve">alsn.ru</t>
  </si>
  <si>
    <t xml:space="preserve">notes_iter4.md:113; _iter4_sources_table.md:9; Capexly_Research_Report_Iter4.md:414</t>
  </si>
  <si>
    <t xml:space="preserve">R0168</t>
  </si>
  <si>
    <t xml:space="preserve">analytics-geo.ru</t>
  </si>
  <si>
    <t xml:space="preserve">Capexly_Research_Report_Iter2.md:318; notes_iter2.md:8; _iter2_sources_table.md:3</t>
  </si>
  <si>
    <t xml:space="preserve">R0169</t>
  </si>
  <si>
    <t xml:space="preserve">ancb.ru</t>
  </si>
  <si>
    <t xml:space="preserve">Capexly_Research_Report_Iter2.md:319; notes_iter2.md:21; _iter2_sources_table.md:4</t>
  </si>
  <si>
    <t xml:space="preserve">R0170</t>
  </si>
  <si>
    <t xml:space="preserve">api-assist.com</t>
  </si>
  <si>
    <t xml:space="preserve">Capexly_Research_Report_Iter3.md:366; _iter3_sources_table.md:3; notes_iter3.md:5</t>
  </si>
  <si>
    <t xml:space="preserve">R0171</t>
  </si>
  <si>
    <t xml:space="preserve">api-parser.ru</t>
  </si>
  <si>
    <t xml:space="preserve">Capexly_Research_Report_Iter3.md:366; _iter3_sources_table.md:3; notes_iter3.md:10</t>
  </si>
  <si>
    <t xml:space="preserve">R0172</t>
  </si>
  <si>
    <t xml:space="preserve">apiportal.ru</t>
  </si>
  <si>
    <t xml:space="preserve">Capexly_Research_Report_Iter3.md:366; _iter3_sources_table.md:3; notes_iter3.md:14</t>
  </si>
  <si>
    <t xml:space="preserve">R0173</t>
  </si>
  <si>
    <t xml:space="preserve">arbitr-advokat.ru</t>
  </si>
  <si>
    <t xml:space="preserve">Capexly_Research_Report_Iter3.md:373; _iter3_sources_table.md:10; notes_iter3.md:147; _iter5_sources_table.md:8; notes_iter5.md:121</t>
  </si>
  <si>
    <t xml:space="preserve">R0174</t>
  </si>
  <si>
    <t xml:space="preserve">arbitr-praktika.ru</t>
  </si>
  <si>
    <t xml:space="preserve">Capexly_Research_Report_Iter3.md:373; _iter3_sources_table.md:10; notes_iter3.md:149</t>
  </si>
  <si>
    <t xml:space="preserve">R0175</t>
  </si>
  <si>
    <t xml:space="preserve">architect-design.ru</t>
  </si>
  <si>
    <t xml:space="preserve">notes_iter4.md:23; _iter4_sources_table.md:4; Capexly_Research_Report_Iter4.md:409</t>
  </si>
  <si>
    <t xml:space="preserve">R0176</t>
  </si>
  <si>
    <t xml:space="preserve">asergroup.ru</t>
  </si>
  <si>
    <t xml:space="preserve">Capexly_Research_Report_Iter2.md:62; Capexly_Research_Report_Iter2.md:318; notes_iter2.md:12; _iter2_sources_table.md:3; notes_iter4.md:65</t>
  </si>
  <si>
    <t xml:space="preserve">R0177</t>
  </si>
  <si>
    <t xml:space="preserve">astobr.com</t>
  </si>
  <si>
    <t xml:space="preserve">Capexly_Research_Report_Iter3.md:366; _iter3_sources_table.md:3; notes_iter3.md:22</t>
  </si>
  <si>
    <t xml:space="preserve">R0178</t>
  </si>
  <si>
    <t xml:space="preserve">astral.ru</t>
  </si>
  <si>
    <t xml:space="preserve">Capexly_Research_Report_Iter3.md:367; _iter3_sources_table.md:4; notes_iter3.md:40; notes_iter4.md:136; _iter4_sources_table.md:10</t>
  </si>
  <si>
    <t xml:space="preserve">R0179</t>
  </si>
  <si>
    <t xml:space="preserve">attentive.ai</t>
  </si>
  <si>
    <t xml:space="preserve">notes_iter2.md:72; Capexly_Research_Report.md:180; Capexly_Research_Report.md:587; notes_sources.md:40</t>
  </si>
  <si>
    <t xml:space="preserve">R0180</t>
  </si>
  <si>
    <t xml:space="preserve">autodesk.com</t>
  </si>
  <si>
    <t xml:space="preserve">_iter5_sources_table.md:3; notes_iter5.md:24; Capexly_Research_Report_Iter5.md:33; Capexly_Research_Report_Iter5.md:535</t>
  </si>
  <si>
    <t xml:space="preserve">R0181</t>
  </si>
  <si>
    <t xml:space="preserve">autollab.ru</t>
  </si>
  <si>
    <t xml:space="preserve">notes_iter4.md:41; _iter4_sources_table.md:5; Capexly_Research_Report_Iter4.md:410</t>
  </si>
  <si>
    <t xml:space="preserve">R0182</t>
  </si>
  <si>
    <t xml:space="preserve">autoreview.ai</t>
  </si>
  <si>
    <t xml:space="preserve">notes_iter2.md:75</t>
  </si>
  <si>
    <t xml:space="preserve">R0183</t>
  </si>
  <si>
    <t xml:space="preserve">b1.ru</t>
  </si>
  <si>
    <t xml:space="preserve">_iter5_sources_table.md:6; notes_iter5.md:80; Capexly_Research_Report_Iter5.md:33; Capexly_Research_Report_Iter5.md:538</t>
  </si>
  <si>
    <t xml:space="preserve">R0184</t>
  </si>
  <si>
    <t xml:space="preserve">b2b-saas.ru</t>
  </si>
  <si>
    <t xml:space="preserve">_iter5_sources_table.md:7; notes_iter5.md:104; Capexly_Research_Report_Iter5.md:539</t>
  </si>
  <si>
    <t xml:space="preserve">R0185</t>
  </si>
  <si>
    <t xml:space="preserve">bankgarant24.ru</t>
  </si>
  <si>
    <t xml:space="preserve">Capexly_Research_Report_Iter2.md:320; notes_iter2.md:28; _iter2_sources_table.md:5</t>
  </si>
  <si>
    <t xml:space="preserve">R0186</t>
  </si>
  <si>
    <t xml:space="preserve">bankrot.fedresurs.ru</t>
  </si>
  <si>
    <t xml:space="preserve">R0187</t>
  </si>
  <si>
    <t xml:space="preserve">bazazakazov.ru</t>
  </si>
  <si>
    <t xml:space="preserve">notes_iter4.md:86; _iter4_sources_table.md:7; Capexly_Research_Report_Iter4.md:412</t>
  </si>
  <si>
    <t xml:space="preserve">R0188</t>
  </si>
  <si>
    <t xml:space="preserve">bazis-center.ru</t>
  </si>
  <si>
    <t xml:space="preserve">Capexly_Research_Report_Iter6_CrossCheck.md:419; _iter6_sources_table.md:5</t>
  </si>
  <si>
    <t xml:space="preserve">R0189</t>
  </si>
  <si>
    <t xml:space="preserve">bb-pravo.ru</t>
  </si>
  <si>
    <t xml:space="preserve">notes_iter4.md:97; _iter4_sources_table.md:8; Capexly_Research_Report_Iter4.md:413</t>
  </si>
  <si>
    <t xml:space="preserve">R0190</t>
  </si>
  <si>
    <t xml:space="preserve">benetics.ai</t>
  </si>
  <si>
    <t xml:space="preserve">Capexly_Research_Report_Iter2.md:325; notes_iter2.md:73; _iter2_sources_table.md:10</t>
  </si>
  <si>
    <t xml:space="preserve">R0191</t>
  </si>
  <si>
    <t xml:space="preserve">beorg.ru</t>
  </si>
  <si>
    <t xml:space="preserve">Capexly_Research_Report_Iter3.md:366; _iter3_sources_table.md:3; notes_iter3.md:24</t>
  </si>
  <si>
    <t xml:space="preserve">R0192</t>
  </si>
  <si>
    <t xml:space="preserve">bestcre.com</t>
  </si>
  <si>
    <t xml:space="preserve">_iter5_sources_table.md:4; notes_iter5.md:37; Capexly_Research_Report_Iter5.md:536</t>
  </si>
  <si>
    <t xml:space="preserve">R0193</t>
  </si>
  <si>
    <t xml:space="preserve">bicotender.ru</t>
  </si>
  <si>
    <t xml:space="preserve">Capexly_Research_Report_Iter3.md:375; _iter3_sources_table.md:12; notes_iter3.md:185</t>
  </si>
  <si>
    <t xml:space="preserve">R0194</t>
  </si>
  <si>
    <t xml:space="preserve">bihoum.ru</t>
  </si>
  <si>
    <t xml:space="preserve">Capexly_Research_Report_Iter3.md:376; _iter3_sources_table.md:13; notes_iter3.md:206</t>
  </si>
  <si>
    <t xml:space="preserve">R0195</t>
  </si>
  <si>
    <t xml:space="preserve">bihouse.ru</t>
  </si>
  <si>
    <t xml:space="preserve">Capexly_Research_Report_Iter3.md:375; _iter3_sources_table.md:12; notes_iter3.md:187</t>
  </si>
  <si>
    <t xml:space="preserve">R0196</t>
  </si>
  <si>
    <t xml:space="preserve">bimacad.ru</t>
  </si>
  <si>
    <t xml:space="preserve">Capexly_Research_Report_Iter3.md:369; _iter3_sources_table.md:6; notes_iter3.md:79</t>
  </si>
  <si>
    <t xml:space="preserve">R0197</t>
  </si>
  <si>
    <t xml:space="preserve">bimenvelop.com</t>
  </si>
  <si>
    <t xml:space="preserve">Capexly_Research_Report_Iter2.md:319; notes_iter2.md:20; _iter2_sources_table.md:4</t>
  </si>
  <si>
    <t xml:space="preserve">R0198</t>
  </si>
  <si>
    <t xml:space="preserve">birchlegal.ru</t>
  </si>
  <si>
    <t xml:space="preserve">notes_iter4.md:60; _iter4_sources_table.md:6; Capexly_Research_Report_Iter4.md:411</t>
  </si>
  <si>
    <t xml:space="preserve">R0199</t>
  </si>
  <si>
    <t xml:space="preserve">bit-stroitelstvo.ru</t>
  </si>
  <si>
    <t xml:space="preserve">Capexly_Research_Report_Iter3.md:375; _iter3_sources_table.md:12; notes_iter3.md:196</t>
  </si>
  <si>
    <t xml:space="preserve">R0200</t>
  </si>
  <si>
    <t xml:space="preserve">bitrd.ru</t>
  </si>
  <si>
    <t xml:space="preserve">Capexly_Research_Report_Iter3.md:373; _iter3_sources_table.md:10; notes_iter3.md:142</t>
  </si>
  <si>
    <t xml:space="preserve">R0201</t>
  </si>
  <si>
    <t xml:space="preserve">bizjournals.com</t>
  </si>
  <si>
    <t xml:space="preserve">R0202</t>
  </si>
  <si>
    <t xml:space="preserve">bktender.ru</t>
  </si>
  <si>
    <t xml:space="preserve">Capexly_Research_Report.md:547</t>
  </si>
  <si>
    <t xml:space="preserve">R0203</t>
  </si>
  <si>
    <t xml:space="preserve">blog.albato.ru</t>
  </si>
  <si>
    <t xml:space="preserve">Capexly_Research_Report_Iter3.md:368; _iter3_sources_table.md:5; notes_iter3.md:44; notes_iter4.md:179; _iter4_sources_table.md:12</t>
  </si>
  <si>
    <t xml:space="preserve">R0204</t>
  </si>
  <si>
    <t xml:space="preserve">bothelp.io</t>
  </si>
  <si>
    <t xml:space="preserve">notes_iter4.md:178; _iter4_sources_table.md:12; Capexly_Research_Report_Iter4.md:417</t>
  </si>
  <si>
    <t xml:space="preserve">R0205</t>
  </si>
  <si>
    <t xml:space="preserve">bpmsoft.ru</t>
  </si>
  <si>
    <t xml:space="preserve">notes_iter4.md:153; _iter4_sources_table.md:11; Capexly_Research_Report_Iter4.md:416</t>
  </si>
  <si>
    <t xml:space="preserve">R0206</t>
  </si>
  <si>
    <t xml:space="preserve">breva.ai</t>
  </si>
  <si>
    <t xml:space="preserve">_iter5_sources_table.md:3; notes_iter5.md:26; Capexly_Research_Report_Iter5.md:535</t>
  </si>
  <si>
    <t xml:space="preserve">R0207</t>
  </si>
  <si>
    <t xml:space="preserve">brief-media.ru</t>
  </si>
  <si>
    <t xml:space="preserve">Capexly_Research_Report_Iter2.md:320; notes_iter2.md:32; _iter2_sources_table.md:5</t>
  </si>
  <si>
    <t xml:space="preserve">R0208</t>
  </si>
  <si>
    <t xml:space="preserve">brixxdigital.com</t>
  </si>
  <si>
    <t xml:space="preserve">_iter5_sources_table.md:3; notes_iter5.md:23; Capexly_Research_Report_Iter5.md:535</t>
  </si>
  <si>
    <t xml:space="preserve">R0209</t>
  </si>
  <si>
    <t xml:space="preserve">bro.petrovich.ru</t>
  </si>
  <si>
    <t xml:space="preserve">Capexly_Research_Report_Iter2.md:321; notes_iter2.md:40; _iter2_sources_table.md:6</t>
  </si>
  <si>
    <t xml:space="preserve">R0210</t>
  </si>
  <si>
    <t xml:space="preserve">bs-trade.ru</t>
  </si>
  <si>
    <t xml:space="preserve">notes_iter4.md:104; _iter4_sources_table.md:8; Capexly_Research_Report_Iter4.md:413</t>
  </si>
  <si>
    <t xml:space="preserve">R0211</t>
  </si>
  <si>
    <t xml:space="preserve">bsomsk.ru</t>
  </si>
  <si>
    <t xml:space="preserve">Capexly_Research_Report_Iter3.md:367; _iter3_sources_table.md:4; notes_iter3.md:39</t>
  </si>
  <si>
    <t xml:space="preserve">R0212</t>
  </si>
  <si>
    <t xml:space="preserve">buhguru.com</t>
  </si>
  <si>
    <t xml:space="preserve">R0213</t>
  </si>
  <si>
    <t xml:space="preserve">buhonline.ru</t>
  </si>
  <si>
    <t xml:space="preserve">Capexly_Research_Report_Iter2.md:324; notes_iter2.md:66; _iter2_sources_table.md:9</t>
  </si>
  <si>
    <t xml:space="preserve">R0214</t>
  </si>
  <si>
    <t xml:space="preserve">buildingclub.ru</t>
  </si>
  <si>
    <t xml:space="preserve">notes_iter4.md:61; _iter4_sources_table.md:6; Capexly_Research_Report_Iter4.md:411</t>
  </si>
  <si>
    <t xml:space="preserve">R0215</t>
  </si>
  <si>
    <t xml:space="preserve">builtworlds.com</t>
  </si>
  <si>
    <t xml:space="preserve">_iter5_sources_table.md:6; notes_iter5.md:69; Capexly_Research_Report_Iter5.md:538</t>
  </si>
  <si>
    <t xml:space="preserve">R0216</t>
  </si>
  <si>
    <t xml:space="preserve">burmistr.ru</t>
  </si>
  <si>
    <t xml:space="preserve">Capexly_Research_Report_Iter2.md:323; notes_iter2.md:56; _iter2_sources_table.md:8</t>
  </si>
  <si>
    <t xml:space="preserve">R0217</t>
  </si>
  <si>
    <t xml:space="preserve">business.ru</t>
  </si>
  <si>
    <t xml:space="preserve">Capexly_Research_Report_Iter3.md:372; _iter3_sources_table.md:9; Capexly_Research_Report_Iter6_CrossCheck.md:418; _iter6_sources_table.md:4; notes_iter3.md:135</t>
  </si>
  <si>
    <t xml:space="preserve">R0218</t>
  </si>
  <si>
    <t xml:space="preserve">businessinsider.com</t>
  </si>
  <si>
    <t xml:space="preserve">R0219</t>
  </si>
  <si>
    <t xml:space="preserve">bwcgroup.ru</t>
  </si>
  <si>
    <t xml:space="preserve">Capexly_Research_Report.md:499</t>
  </si>
  <si>
    <t xml:space="preserve">R0220</t>
  </si>
  <si>
    <t xml:space="preserve">c-o-k.ru</t>
  </si>
  <si>
    <t xml:space="preserve">Capexly_Research_Report_Iter3.md:369; _iter3_sources_table.md:6; notes_iter3.md:76</t>
  </si>
  <si>
    <t xml:space="preserve">R0221</t>
  </si>
  <si>
    <t xml:space="preserve">ca.kontur.ru</t>
  </si>
  <si>
    <t xml:space="preserve">notes_iter4.md:27; _iter4_sources_table.md:4; Capexly_Research_Report_Iter4.md:409</t>
  </si>
  <si>
    <t xml:space="preserve">R0222</t>
  </si>
  <si>
    <t xml:space="preserve">career.habr.com</t>
  </si>
  <si>
    <t xml:space="preserve">_iter5_sources_table.md:13; notes_iter5.md:183; Capexly_Research_Report_Iter5.md:545</t>
  </si>
  <si>
    <t xml:space="preserve">R0223</t>
  </si>
  <si>
    <t xml:space="preserve">careerist.ru</t>
  </si>
  <si>
    <t xml:space="preserve">_iter5_sources_table.md:11; notes_iter5.md:169; Capexly_Research_Report_Iter5.md:33; Capexly_Research_Report_Iter5.md:543</t>
  </si>
  <si>
    <t xml:space="preserve">R0224</t>
  </si>
  <si>
    <t xml:space="preserve">cdn.gedcdn.ru</t>
  </si>
  <si>
    <t xml:space="preserve">notes_iter4.md:84; _iter4_sources_table.md:7; Capexly_Research_Report_Iter4.md:412</t>
  </si>
  <si>
    <t xml:space="preserve">R0225</t>
  </si>
  <si>
    <t xml:space="preserve">cdo-global.ru</t>
  </si>
  <si>
    <t xml:space="preserve">Capexly_Research_Report_Iter3.md:366; _iter3_sources_table.md:3; notes_iter3.md:21</t>
  </si>
  <si>
    <t xml:space="preserve">R0226</t>
  </si>
  <si>
    <t xml:space="preserve">cemexventures.com</t>
  </si>
  <si>
    <t xml:space="preserve">_iter5_sources_table.md:5; notes_iter5.md:64; notes_iter5.md:65; Capexly_Research_Report_Iter5.md:537</t>
  </si>
  <si>
    <t xml:space="preserve">R0227</t>
  </si>
  <si>
    <t xml:space="preserve">certification.vnesenie-v-reestr.ru</t>
  </si>
  <si>
    <t xml:space="preserve">Capexly_Research_Report_Iter3.md:374; _iter3_sources_table.md:11; notes_iter3.md:163; notes_iter3.md:172</t>
  </si>
  <si>
    <t xml:space="preserve">R0228</t>
  </si>
  <si>
    <t xml:space="preserve">cfma.org</t>
  </si>
  <si>
    <t xml:space="preserve">Capexly_Research_Report_Iter2.md:325; notes_iter2.md:74; _iter2_sources_table.md:10</t>
  </si>
  <si>
    <t xml:space="preserve">R0229</t>
  </si>
  <si>
    <t xml:space="preserve">challengingvoice.com</t>
  </si>
  <si>
    <t xml:space="preserve">_iter5_sources_table.md:4; notes_iter5.md:33; Capexly_Research_Report_Iter5.md:536</t>
  </si>
  <si>
    <t xml:space="preserve">R0230</t>
  </si>
  <si>
    <t xml:space="preserve">chatforma.com</t>
  </si>
  <si>
    <t xml:space="preserve">notes_iter4.md:116; _iter4_sources_table.md:9; Capexly_Research_Report_Iter4.md:414</t>
  </si>
  <si>
    <t xml:space="preserve">R0231</t>
  </si>
  <si>
    <t xml:space="preserve">checko.ru</t>
  </si>
  <si>
    <t xml:space="preserve">Capexly_Research_Report_Iter3.md:366; _iter3_sources_table.md:3; notes_iter3.md:7</t>
  </si>
  <si>
    <t xml:space="preserve">R0232</t>
  </si>
  <si>
    <t xml:space="preserve">checkroi.ru</t>
  </si>
  <si>
    <t xml:space="preserve">notes_iter4.md:44; _iter4_sources_table.md:5; Capexly_Research_Report_Iter4.md:410</t>
  </si>
  <si>
    <t xml:space="preserve">R0233</t>
  </si>
  <si>
    <t xml:space="preserve">chicagotribune.com</t>
  </si>
  <si>
    <t xml:space="preserve">_iter5_sources_table.md:3; notes_iter5.md:15; Capexly_Research_Report_Iter5.md:535</t>
  </si>
  <si>
    <t xml:space="preserve">R0234</t>
  </si>
  <si>
    <t xml:space="preserve">cifrastroy.ru</t>
  </si>
  <si>
    <t xml:space="preserve">Capexly_Research_Report.md:466; notes_sources.md:5</t>
  </si>
  <si>
    <t xml:space="preserve">R0235</t>
  </si>
  <si>
    <t xml:space="preserve">cloud.vk.ru</t>
  </si>
  <si>
    <t xml:space="preserve">_iter5_sources_table.md:10; notes_iter5.md:151; Capexly_Research_Report_Iter5.md:33; Capexly_Research_Report_Iter5.md:542</t>
  </si>
  <si>
    <t xml:space="preserve">R0236</t>
  </si>
  <si>
    <t xml:space="preserve">cloud4u.ru</t>
  </si>
  <si>
    <t xml:space="preserve">notes_iter4.md:190; _iter4_sources_table.md:12; Capexly_Research_Report_Iter4.md:417</t>
  </si>
  <si>
    <t xml:space="preserve">R0237</t>
  </si>
  <si>
    <t xml:space="preserve">cmet4uk.ru</t>
  </si>
  <si>
    <t xml:space="preserve">Capexly_Research_Report.md:34</t>
  </si>
  <si>
    <t xml:space="preserve">R0238</t>
  </si>
  <si>
    <t xml:space="preserve">cnews.ru</t>
  </si>
  <si>
    <t xml:space="preserve">Capexly_Research_Report_Iter3.md:374; Capexly_Research_Report_Iter3.md:375; _iter3_sources_table.md:11; _iter3_sources_table.md:12; Capexly_Research_Report_Iter6_CrossCheck.md:420</t>
  </si>
  <si>
    <t xml:space="preserve">R0239</t>
  </si>
  <si>
    <t xml:space="preserve">cobt.ru</t>
  </si>
  <si>
    <t xml:space="preserve">Capexly_Research_Report_Iter3.md:370; _iter3_sources_table.md:7; notes_iter3.md:95</t>
  </si>
  <si>
    <t xml:space="preserve">R0240</t>
  </si>
  <si>
    <t xml:space="preserve">codecomply.ai</t>
  </si>
  <si>
    <t xml:space="preserve">R0241</t>
  </si>
  <si>
    <t xml:space="preserve">codenrock.com</t>
  </si>
  <si>
    <t xml:space="preserve">_iter5_sources_table.md:6; notes_iter5.md:89; Capexly_Research_Report_Iter5.md:538</t>
  </si>
  <si>
    <t xml:space="preserve">R0242</t>
  </si>
  <si>
    <t xml:space="preserve">cok-1.ru</t>
  </si>
  <si>
    <t xml:space="preserve">Capexly_Research_Report.md:503</t>
  </si>
  <si>
    <t xml:space="preserve">R0243</t>
  </si>
  <si>
    <t xml:space="preserve">cok-nopriz.ru</t>
  </si>
  <si>
    <t xml:space="preserve">R0244</t>
  </si>
  <si>
    <t xml:space="preserve">coldy.ai</t>
  </si>
  <si>
    <t xml:space="preserve">Capexly_Research_Report_Iter3.md:371; _iter3_sources_table.md:8; notes_iter3.md:114</t>
  </si>
  <si>
    <t xml:space="preserve">R0245</t>
  </si>
  <si>
    <t xml:space="preserve">commercialobserver.com</t>
  </si>
  <si>
    <t xml:space="preserve">_iter5_sources_table.md:3; notes_iter5.md:9; Capexly_Research_Report_Iter5.md:535</t>
  </si>
  <si>
    <t xml:space="preserve">R0246</t>
  </si>
  <si>
    <t xml:space="preserve">companies.rbc.ru</t>
  </si>
  <si>
    <t xml:space="preserve">_iter5_sources_table.md:6; _iter5_sources_table.md:13; notes_iter5.md:78; notes_iter5.md:183; Capexly_Research_Report_Iter5.md:538</t>
  </si>
  <si>
    <t xml:space="preserve">R0247</t>
  </si>
  <si>
    <t xml:space="preserve">concreton.ru</t>
  </si>
  <si>
    <t xml:space="preserve">Capexly_Research_Report_Iter2.md:321; notes_iter2.md:39; _iter2_sources_table.md:6</t>
  </si>
  <si>
    <t xml:space="preserve">R0248</t>
  </si>
  <si>
    <t xml:space="preserve">consaltika.ru</t>
  </si>
  <si>
    <t xml:space="preserve">_iter5_sources_table.md:8; notes_iter5.md:127; Capexly_Research_Report_Iter5.md:540</t>
  </si>
  <si>
    <t xml:space="preserve">R0249</t>
  </si>
  <si>
    <t xml:space="preserve">constructionai.io</t>
  </si>
  <si>
    <t xml:space="preserve">_iter5_sources_table.md:4; notes_iter5.md:49; Capexly_Research_Report_Iter5.md:536</t>
  </si>
  <si>
    <t xml:space="preserve">R0250</t>
  </si>
  <si>
    <t xml:space="preserve">constructiondive.com</t>
  </si>
  <si>
    <t xml:space="preserve">Capexly_Research_Report_Iter2.md:325; notes_iter2.md:72; _iter2_sources_table.md:10; _iter5_sources_table.md:3; notes_iter5.md:14</t>
  </si>
  <si>
    <t xml:space="preserve">R0251</t>
  </si>
  <si>
    <t xml:space="preserve">constructionequipment.com</t>
  </si>
  <si>
    <t xml:space="preserve">_iter5_sources_table.md:5; notes_iter5.md:63; Capexly_Research_Report_Iter5.md:537</t>
  </si>
  <si>
    <t xml:space="preserve">R0252</t>
  </si>
  <si>
    <t xml:space="preserve">constructionjunkie.com</t>
  </si>
  <si>
    <t xml:space="preserve">_iter5_sources_table.md:4; notes_iter5.md:43; Capexly_Research_Report_Iter5.md:536</t>
  </si>
  <si>
    <t xml:space="preserve">R0253</t>
  </si>
  <si>
    <t xml:space="preserve">constructionowners.com</t>
  </si>
  <si>
    <t xml:space="preserve">Capexly_Research_Report_Iter2.md:325; notes_iter2.md:72; _iter2_sources_table.md:10</t>
  </si>
  <si>
    <t xml:space="preserve">R0254</t>
  </si>
  <si>
    <t xml:space="preserve">consultantkhv.ru</t>
  </si>
  <si>
    <t xml:space="preserve">Capexly_Research_Report_Iter2.md:320; notes_iter2.md:31; _iter2_sources_table.md:5</t>
  </si>
  <si>
    <t xml:space="preserve">R0255</t>
  </si>
  <si>
    <t xml:space="preserve">corp.narhsi.ru</t>
  </si>
  <si>
    <t xml:space="preserve">notes_iter4.md:9; _iter4_sources_table.md:3; Capexly_Research_Report_Iter4.md:408</t>
  </si>
  <si>
    <t xml:space="preserve">R0256</t>
  </si>
  <si>
    <t xml:space="preserve">cosmacom.ru</t>
  </si>
  <si>
    <t xml:space="preserve">_iter5_sources_table.md:10; notes_iter5.md:148; notes_iter5.md:154; Capexly_Research_Report_Iter5.md:542</t>
  </si>
  <si>
    <t xml:space="preserve">R0257</t>
  </si>
  <si>
    <t xml:space="preserve">cpz21.ru</t>
  </si>
  <si>
    <t xml:space="preserve">Capexly_Research_Report_Iter3.md:371; _iter3_sources_table.md:8; notes_iter3.md:108; notes_iter4.md:159; notes_iter4.md:173</t>
  </si>
  <si>
    <t xml:space="preserve">R0258</t>
  </si>
  <si>
    <t xml:space="preserve">crmgroup.ru</t>
  </si>
  <si>
    <t xml:space="preserve">notes_iter4.md:180; _iter4_sources_table.md:12; Capexly_Research_Report_Iter4.md:417</t>
  </si>
  <si>
    <t xml:space="preserve">R0259</t>
  </si>
  <si>
    <t xml:space="preserve">crmindex.ru</t>
  </si>
  <si>
    <t xml:space="preserve">Capexly_Research_Report_Iter3.md:366; _iter3_sources_table.md:3; notes_iter3.md:13; _iter5_sources_table.md:7; notes_iter5.md:101</t>
  </si>
  <si>
    <t xml:space="preserve">R0260</t>
  </si>
  <si>
    <t xml:space="preserve">crosslinkcapital.com</t>
  </si>
  <si>
    <t xml:space="preserve">_iter5_sources_table.md:6; notes_iter5.md:68; Capexly_Research_Report_Iter5.md:538</t>
  </si>
  <si>
    <t xml:space="preserve">R0261</t>
  </si>
  <si>
    <t xml:space="preserve">cryptobriefing.com</t>
  </si>
  <si>
    <t xml:space="preserve">_iter5_sources_table.md:5; notes_iter5.md:61; Capexly_Research_Report_Iter5.md:537</t>
  </si>
  <si>
    <t xml:space="preserve">R0262</t>
  </si>
  <si>
    <t xml:space="preserve">cryptopro.ru</t>
  </si>
  <si>
    <t xml:space="preserve">notes_iter4.md:54; _iter4_sources_table.md:5; Capexly_Research_Report_Iter4.md:410</t>
  </si>
  <si>
    <t xml:space="preserve">R0263</t>
  </si>
  <si>
    <t xml:space="preserve">czbt.ru</t>
  </si>
  <si>
    <t xml:space="preserve">Capexly_Research_Report_Iter3.md:376; _iter3_sources_table.md:13; notes_iter3.md:213</t>
  </si>
  <si>
    <t xml:space="preserve">R0264</t>
  </si>
  <si>
    <t xml:space="preserve">damia.ru</t>
  </si>
  <si>
    <t xml:space="preserve">Capexly_Research_Report_Iter3.md:366; _iter3_sources_table.md:3; notes_iter3.md:12; notes_iter4.md:161; _iter4_sources_table.md:11</t>
  </si>
  <si>
    <t xml:space="preserve">R0265</t>
  </si>
  <si>
    <t xml:space="preserve">data.apicrafter.ru</t>
  </si>
  <si>
    <t xml:space="preserve">Capexly_Research_Report_Iter3.md:371; _iter3_sources_table.md:8; notes_iter3.md:110</t>
  </si>
  <si>
    <t xml:space="preserve">R0266</t>
  </si>
  <si>
    <t xml:space="preserve">datadrivenaec.com</t>
  </si>
  <si>
    <t xml:space="preserve">_iter5_sources_table.md:4; notes_iter5.md:42; Capexly_Research_Report_Iter5.md:536</t>
  </si>
  <si>
    <t xml:space="preserve">R0267</t>
  </si>
  <si>
    <t xml:space="preserve">ddpa.ru</t>
  </si>
  <si>
    <t xml:space="preserve">notes_iter4.md:138; _iter4_sources_table.md:10; Capexly_Research_Report_Iter4.md:415</t>
  </si>
  <si>
    <t xml:space="preserve">R0268</t>
  </si>
  <si>
    <t xml:space="preserve">debex.ru</t>
  </si>
  <si>
    <t xml:space="preserve">Capexly_Research_Report_Iter3.md:366; _iter3_sources_table.md:3; notes_iter3.md:6</t>
  </si>
  <si>
    <t xml:space="preserve">R0269</t>
  </si>
  <si>
    <t xml:space="preserve">developers.sber.ru</t>
  </si>
  <si>
    <t xml:space="preserve">Capexly_Research_Report_Iter6_CrossCheck.md:417; Capexly_Research_Report_Iter6_CrossCheck.md:420; Capexly_Business_Plan_v1.md:544; _iter6_sources_table.md:3; _iter6_sources_table.md:6</t>
  </si>
  <si>
    <t xml:space="preserve">R0270</t>
  </si>
  <si>
    <t xml:space="preserve">diadoc.ru</t>
  </si>
  <si>
    <t xml:space="preserve">notes_iter4.md:156; _iter4_sources_table.md:11; Capexly_Research_Report_Iter4.md:416</t>
  </si>
  <si>
    <t xml:space="preserve">R0271</t>
  </si>
  <si>
    <t xml:space="preserve">diadoc.vkontur.ru</t>
  </si>
  <si>
    <t xml:space="preserve">Capexly_Research_Report_Iter3.md:367; _iter3_sources_table.md:4; notes_iter3.md:32</t>
  </si>
  <si>
    <t xml:space="preserve">R0272</t>
  </si>
  <si>
    <t xml:space="preserve">diadocs.net</t>
  </si>
  <si>
    <t xml:space="preserve">R0273</t>
  </si>
  <si>
    <t xml:space="preserve">digital-build.ru</t>
  </si>
  <si>
    <t xml:space="preserve">notes_iter4.md:19; notes_iter4.md:67; _iter4_voice_table.md:11; _iter4_sources_table.md:3; _iter4_sources_table.md:6</t>
  </si>
  <si>
    <t xml:space="preserve">R0274</t>
  </si>
  <si>
    <t xml:space="preserve">docs.cntd.ru</t>
  </si>
  <si>
    <t xml:space="preserve">Capexly_Research_Report.md:322; Capexly_Research_Report.md:606</t>
  </si>
  <si>
    <t xml:space="preserve">R0275</t>
  </si>
  <si>
    <t xml:space="preserve">docs.sherparpa.ru</t>
  </si>
  <si>
    <t xml:space="preserve">notes_iter4.md:53; _iter4_sources_table.md:5; Capexly_Research_Report_Iter4.md:410</t>
  </si>
  <si>
    <t xml:space="preserve">R0276</t>
  </si>
  <si>
    <t xml:space="preserve">docxml.ru</t>
  </si>
  <si>
    <t xml:space="preserve">Capexly_Research_Report_Iter6_CrossCheck.md:251; Capexly_Research_Report_Iter6_CrossCheck.md:533; _iter6_sigmap_table.md:104; _iter6_comp_table.md:14; Capexly_Business_Plan_v2.md:152</t>
  </si>
  <si>
    <t xml:space="preserve">R0277</t>
  </si>
  <si>
    <t xml:space="preserve">dogovor.ru</t>
  </si>
  <si>
    <t xml:space="preserve">Capexly_Research_Report_Iter6_CrossCheck.md:417; _iter6_sources_table.md:3; Capexly_Research_Report.md:149; Capexly_Research_Report.md:193; Capexly_Research_Report.md:550</t>
  </si>
  <si>
    <t xml:space="preserve">R0278</t>
  </si>
  <si>
    <t xml:space="preserve">dom.iastr.ru</t>
  </si>
  <si>
    <t xml:space="preserve">Capexly_Research_Report_Iter6_CrossCheck.md:419; _iter6_sources_table.md:5; notes_iter6_cross.md:45</t>
  </si>
  <si>
    <t xml:space="preserve">R0279</t>
  </si>
  <si>
    <t xml:space="preserve">domvisor.ru</t>
  </si>
  <si>
    <t xml:space="preserve">Capexly_Research_Report_Iter6_CrossCheck.md:417; _iter6_sources_table.md:3; notes_iter6_cross.md:21</t>
  </si>
  <si>
    <t xml:space="preserve">R0280</t>
  </si>
  <si>
    <t xml:space="preserve">donland.ru</t>
  </si>
  <si>
    <t xml:space="preserve">notes_iter4.md:207; _iter4_sources_table.md:13; Capexly_Research_Report_Iter4.md:418</t>
  </si>
  <si>
    <t xml:space="preserve">R0281</t>
  </si>
  <si>
    <t xml:space="preserve">duc-technologies.ru</t>
  </si>
  <si>
    <t xml:space="preserve">Capexly_Research_Report_Iter3.md:368; _iter3_sources_table.md:5; notes_iter3.md:50</t>
  </si>
  <si>
    <t xml:space="preserve">R0282</t>
  </si>
  <si>
    <t xml:space="preserve">dv-consulting.ru</t>
  </si>
  <si>
    <t xml:space="preserve">Capexly_Research_Report_Iter3.md:368; Capexly_Research_Report_Iter3.md:372; _iter3_sources_table.md:5; _iter3_sources_table.md:9; notes_iter3.md:58</t>
  </si>
  <si>
    <t xml:space="preserve">R0283</t>
  </si>
  <si>
    <t xml:space="preserve">dvizhenie.ru</t>
  </si>
  <si>
    <t xml:space="preserve">Capexly_Research_Report_Iter6_CrossCheck.md:419; Capexly_Research_Report_Iter6_CrossCheck.md:420; _iter6_sources_table.md:5; _iter6_sources_table.md:6; notes_iter6_cross.md:44</t>
  </si>
  <si>
    <t xml:space="preserve">R0284</t>
  </si>
  <si>
    <t xml:space="preserve">e-vito.ru</t>
  </si>
  <si>
    <t xml:space="preserve">Capexly_Research_Report_Iter3.md:367; _iter3_sources_table.md:4; notes_iter3.md:33; notes_iter4.md:131; notes_iter4.md:132</t>
  </si>
  <si>
    <t xml:space="preserve">R0285</t>
  </si>
  <si>
    <t xml:space="preserve">eawards.1c.ru</t>
  </si>
  <si>
    <t xml:space="preserve">_iter5_sources_table.md:14; notes_iter5.md:195; Capexly_Research_Report_Iter5.md:546</t>
  </si>
  <si>
    <t xml:space="preserve">R0286</t>
  </si>
  <si>
    <t xml:space="preserve">edu.rosmintrud.ru</t>
  </si>
  <si>
    <t xml:space="preserve">Capexly_Research_Report_Iter3.md:366; _iter3_sources_table.md:3; notes_iter3.md:18; notes_iter6_cross.md:34</t>
  </si>
  <si>
    <t xml:space="preserve">R0287</t>
  </si>
  <si>
    <t xml:space="preserve">egov-buryatia.ru</t>
  </si>
  <si>
    <t xml:space="preserve">notes_iter4.md:195; _iter4_sources_table.md:13; Capexly_Research_Report_Iter4.md:418</t>
  </si>
  <si>
    <t xml:space="preserve">R0288</t>
  </si>
  <si>
    <t xml:space="preserve">eisot-xml.ru</t>
  </si>
  <si>
    <t xml:space="preserve">Capexly_Research_Report_Iter6_CrossCheck.md:226; Capexly_Research_Report_Iter6_CrossCheck.md:254; Capexly_Research_Report_Iter6_CrossCheck.md:260; Capexly_Research_Report_Iter6_CrossCheck.md:418; _iter6_sources_table.md:4</t>
  </si>
  <si>
    <t xml:space="preserve">R0289</t>
  </si>
  <si>
    <t xml:space="preserve">electronika.ru</t>
  </si>
  <si>
    <t xml:space="preserve">Capexly_Research_Report_Iter3.md:376; _iter3_sources_table.md:13; notes_iter3.md:212</t>
  </si>
  <si>
    <t xml:space="preserve">R0290</t>
  </si>
  <si>
    <t xml:space="preserve">embedika.ru</t>
  </si>
  <si>
    <t xml:space="preserve">_iter5_sources_table.md:12; notes_iter5.md:176; Capexly_Research_Report_Iter5.md:544</t>
  </si>
  <si>
    <t xml:space="preserve">R0291</t>
  </si>
  <si>
    <t xml:space="preserve">empldocs.ru</t>
  </si>
  <si>
    <t xml:space="preserve">notes_iter4.md:154; _iter4_sources_table.md:11; Capexly_Research_Report_Iter4.md:416</t>
  </si>
  <si>
    <t xml:space="preserve">R0292</t>
  </si>
  <si>
    <t xml:space="preserve">enr.com</t>
  </si>
  <si>
    <t xml:space="preserve">_iter5_sources_table.md:3; _iter5_sources_table.md:4; _iter5_sources_table.md:6; notes_iter5.md:13; notes_iter5.md:32</t>
  </si>
  <si>
    <t xml:space="preserve">R0293</t>
  </si>
  <si>
    <t xml:space="preserve">epp.genproc.gov.ru</t>
  </si>
  <si>
    <t xml:space="preserve">notes_iter4.md:185; _iter4_sources_table.md:12; Capexly_Research_Report_Iter4.md:417</t>
  </si>
  <si>
    <t xml:space="preserve">R0294</t>
  </si>
  <si>
    <t xml:space="preserve">equipmentworld.com</t>
  </si>
  <si>
    <t xml:space="preserve">_iter5_sources_table.md:5; notes_iter5.md:62; Capexly_Research_Report_Iter5.md:537</t>
  </si>
  <si>
    <t xml:space="preserve">R0295</t>
  </si>
  <si>
    <t xml:space="preserve">esia.pro</t>
  </si>
  <si>
    <t xml:space="preserve">Capexly_Research_Report_Iter3.md:367; _iter3_sources_table.md:4; notes_iter3.md:37</t>
  </si>
  <si>
    <t xml:space="preserve">R0296</t>
  </si>
  <si>
    <t xml:space="preserve">etprf.ru</t>
  </si>
  <si>
    <t xml:space="preserve">notes_iter4.md:200; _iter4_sources_table.md:13; Capexly_Research_Report_Iter4.md:418</t>
  </si>
  <si>
    <t xml:space="preserve">R0297</t>
  </si>
  <si>
    <t xml:space="preserve">evertechsolutions.io</t>
  </si>
  <si>
    <t xml:space="preserve">R0298</t>
  </si>
  <si>
    <t xml:space="preserve">expertpgs.ru</t>
  </si>
  <si>
    <t xml:space="preserve">R0299</t>
  </si>
  <si>
    <t xml:space="preserve">extern.balans2.ru</t>
  </si>
  <si>
    <t xml:space="preserve">Capexly_Research_Report_Iter3.md:367; _iter3_sources_table.md:4; Capexly_Research_Report_Iter6_CrossCheck.md:417; _iter6_sources_table.md:3; notes_iter3.md:32</t>
  </si>
  <si>
    <t xml:space="preserve">R0300</t>
  </si>
  <si>
    <t xml:space="preserve">fasie.ru</t>
  </si>
  <si>
    <t xml:space="preserve">Capexly_Business_Plan_v1.md:541; Capexly_Business_Plan_v1.md:551; Capexly_Business_Plan_v2.md:856; Capexly_Business_Plan_v2.md:868</t>
  </si>
  <si>
    <t xml:space="preserve">R0301</t>
  </si>
  <si>
    <t xml:space="preserve">favorit-consult.ru</t>
  </si>
  <si>
    <t xml:space="preserve">Capexly_Research_Report_Iter2.md:324; notes_iter2.md:64; _iter2_sources_table.md:9; notes_iter4.md:126; _iter4_sources_table.md:9</t>
  </si>
  <si>
    <t xml:space="preserve">R0302</t>
  </si>
  <si>
    <t xml:space="preserve">files.sk.ru</t>
  </si>
  <si>
    <t xml:space="preserve">_iter5_sources_table.md:10; notes_iter5.md:149; Capexly_Research_Report_Iter5.md:542</t>
  </si>
  <si>
    <t xml:space="preserve">R0303</t>
  </si>
  <si>
    <t xml:space="preserve">files.stroyinf.ru</t>
  </si>
  <si>
    <t xml:space="preserve">Capexly_Research_Report_Iter3.md:374; _iter3_sources_table.md:11; notes_iter3.md:166</t>
  </si>
  <si>
    <t xml:space="preserve">R0304</t>
  </si>
  <si>
    <t xml:space="preserve">findcert.ru</t>
  </si>
  <si>
    <t xml:space="preserve">Capexly_Research_Report_Iter2.md:321; notes_iter2.md:37; _iter2_sources_table.md:6</t>
  </si>
  <si>
    <t xml:space="preserve">R0305</t>
  </si>
  <si>
    <t xml:space="preserve">finsmes.com</t>
  </si>
  <si>
    <t xml:space="preserve">R0306</t>
  </si>
  <si>
    <t xml:space="preserve">fondnid.ru</t>
  </si>
  <si>
    <t xml:space="preserve">Capexly_Research_Report_Iter3.md:372; _iter3_sources_table.md:9; Capexly_Business_Plan_v1.md:542; notes_iter3.md:136</t>
  </si>
  <si>
    <t xml:space="preserve">R0307</t>
  </si>
  <si>
    <t xml:space="preserve">fora-systems.ru</t>
  </si>
  <si>
    <t xml:space="preserve">Capexly_Research_Report_Iter2.md:322; notes_iter2.md:48; _iter2_sources_table.md:7</t>
  </si>
  <si>
    <t xml:space="preserve">R0308</t>
  </si>
  <si>
    <t xml:space="preserve">forbes.ru</t>
  </si>
  <si>
    <t xml:space="preserve">Capexly_Research_Report_Iter2.md:324; notes_iter2.md:60; _iter2_sources_table.md:9; _iter5_sources_table.md:6; notes_iter5.md:75</t>
  </si>
  <si>
    <t xml:space="preserve">R0309</t>
  </si>
  <si>
    <t xml:space="preserve">forconstructionpros.com</t>
  </si>
  <si>
    <t xml:space="preserve">_iter5_sources_table.md:4; notes_iter5.md:47; Capexly_Research_Report_Iter5.md:536</t>
  </si>
  <si>
    <t xml:space="preserve">R0310</t>
  </si>
  <si>
    <t xml:space="preserve">fortis-audit.ru</t>
  </si>
  <si>
    <t xml:space="preserve">Capexly_Research_Report_Iter6_CrossCheck.md:419; _iter6_sources_table.md:5; notes_iter6_cross.md:47</t>
  </si>
  <si>
    <t xml:space="preserve">R0311</t>
  </si>
  <si>
    <t xml:space="preserve">forum-100.ru</t>
  </si>
  <si>
    <t xml:space="preserve">R0312</t>
  </si>
  <si>
    <t xml:space="preserve">forum.yurclub.ru</t>
  </si>
  <si>
    <t xml:space="preserve">R0313</t>
  </si>
  <si>
    <t xml:space="preserve">ftp.grandsmeta.ru</t>
  </si>
  <si>
    <t xml:space="preserve">Capexly_Research_Report_Iter3.md:369; _iter3_sources_table.md:6; notes_iter3.md:65</t>
  </si>
  <si>
    <t xml:space="preserve">R0314</t>
  </si>
  <si>
    <t xml:space="preserve">fundedstartupsdaily.com</t>
  </si>
  <si>
    <t xml:space="preserve">Capexly_Research_Report_Iter3.md:372; _iter3_sources_table.md:9; notes_iter3.md:130</t>
  </si>
  <si>
    <t xml:space="preserve">R0315</t>
  </si>
  <si>
    <t xml:space="preserve">fz44.org</t>
  </si>
  <si>
    <t xml:space="preserve">notes_iter4.md:199; _iter4_sources_table.md:13; Capexly_Research_Report_Iter4.md:418</t>
  </si>
  <si>
    <t xml:space="preserve">R0316</t>
  </si>
  <si>
    <t xml:space="preserve">gd.ru</t>
  </si>
  <si>
    <t xml:space="preserve">_iter5_sources_table.md:10; notes_iter5.md:152; Capexly_Research_Report_Iter5.md:33; Capexly_Research_Report_Iter5.md:542</t>
  </si>
  <si>
    <t xml:space="preserve">R0317</t>
  </si>
  <si>
    <t xml:space="preserve">ge74.ru</t>
  </si>
  <si>
    <t xml:space="preserve">Capexly_Research_Report_Iter2.md:318; notes_iter2.md:15; _iter2_sources_table.md:3</t>
  </si>
  <si>
    <t xml:space="preserve">R0318</t>
  </si>
  <si>
    <t xml:space="preserve">gectaro.com</t>
  </si>
  <si>
    <t xml:space="preserve">Capexly_Research_Report_Iter2.md:321; Capexly_Research_Report_Iter2.md:324; notes_iter2.md:40; notes_iter2.md:64; _iter2_sources_table.md:6</t>
  </si>
  <si>
    <t xml:space="preserve">R0319</t>
  </si>
  <si>
    <t xml:space="preserve">geo-global.ru</t>
  </si>
  <si>
    <t xml:space="preserve">Capexly_Research_Report_Iter2.md:318; Capexly_Research_Report_Iter2.md:323; notes_iter2.md:9; notes_iter2.md:51; _iter2_sources_table.md:3</t>
  </si>
  <si>
    <t xml:space="preserve">R0320</t>
  </si>
  <si>
    <t xml:space="preserve">geoinfo.ru</t>
  </si>
  <si>
    <t xml:space="preserve">Capexly_Research_Report_Iter2.md:62; Capexly_Research_Report_Iter2.md:62; Capexly_Research_Report_Iter2.md:318; notes_iter2.md:7; _iter2_sources_table.md:3</t>
  </si>
  <si>
    <t xml:space="preserve">R0321</t>
  </si>
  <si>
    <t xml:space="preserve">geoscout.pro</t>
  </si>
  <si>
    <t xml:space="preserve">Capexly_Research_Report_Iter3.md:368; _iter3_sources_table.md:5; Capexly_Research_Report_Iter6_CrossCheck.md:417; _iter6_sources_table.md:3; notes_iter3.md:43</t>
  </si>
  <si>
    <t xml:space="preserve">R0322</t>
  </si>
  <si>
    <t xml:space="preserve">geostron.ru</t>
  </si>
  <si>
    <t xml:space="preserve">Capexly_Research_Report_Iter2.md:322; notes_iter2.md:47; _iter2_sources_table.md:7</t>
  </si>
  <si>
    <t xml:space="preserve">R0323</t>
  </si>
  <si>
    <t xml:space="preserve">geotop.msk.ru</t>
  </si>
  <si>
    <t xml:space="preserve">Capexly_Research_Report_Iter2.md:321; notes_iter2.md:35; _iter2_sources_table.md:6</t>
  </si>
  <si>
    <t xml:space="preserve">R0324</t>
  </si>
  <si>
    <t xml:space="preserve">getlatka.com</t>
  </si>
  <si>
    <t xml:space="preserve">_iter5_sources_table.md:5; notes_iter5.md:58; notes_iter5.md:59; Capexly_Research_Report_Iter5.md:537</t>
  </si>
  <si>
    <t xml:space="preserve">R0325</t>
  </si>
  <si>
    <t xml:space="preserve">gisogd24.ru</t>
  </si>
  <si>
    <t xml:space="preserve">notes_iter4.md:197; _iter4_sources_table.md:13; Capexly_Research_Report_Iter4.md:418</t>
  </si>
  <si>
    <t xml:space="preserve">R0326</t>
  </si>
  <si>
    <t xml:space="preserve">github.com</t>
  </si>
  <si>
    <t xml:space="preserve">notes_iter4.md:30; _iter4_voice_table.md:18; _iter4_sources_table.md:4; Capexly_Research_Report_Iter4.md:67; Capexly_Research_Report_Iter4.md:409</t>
  </si>
  <si>
    <t xml:space="preserve">R0327</t>
  </si>
  <si>
    <t xml:space="preserve">gkgz.ru</t>
  </si>
  <si>
    <t xml:space="preserve">_iter5_sources_table.md:8; _iter5_sources_table.md:9; notes_iter5.md:110; notes_iter5.md:141; Capexly_Research_Report_Iter5.md:540</t>
  </si>
  <si>
    <t xml:space="preserve">R0328</t>
  </si>
  <si>
    <t xml:space="preserve">gkodeksrf.ru</t>
  </si>
  <si>
    <t xml:space="preserve">notes_iter4.md:87; _iter4_voice_table.md:8; _iter4_sources_table.md:7; Capexly_Research_Report_Iter4.md:57; Capexly_Research_Report_Iter4.md:412</t>
  </si>
  <si>
    <t xml:space="preserve">R0329</t>
  </si>
  <si>
    <t xml:space="preserve">globenewswire.com</t>
  </si>
  <si>
    <t xml:space="preserve">_iter5_sources_table.md:3; notes_iter5.md:27; Capexly_Research_Report_Iter5.md:535</t>
  </si>
  <si>
    <t xml:space="preserve">R0330</t>
  </si>
  <si>
    <t xml:space="preserve">goodstartup.ru</t>
  </si>
  <si>
    <t xml:space="preserve">Capexly_Research_Report_Iter3.md:372; _iter3_sources_table.md:9; notes_iter3.md:125; _iter5_sources_table.md:11; notes_iter5.md:171</t>
  </si>
  <si>
    <t xml:space="preserve">R0331</t>
  </si>
  <si>
    <t xml:space="preserve">gorodrabot.ru</t>
  </si>
  <si>
    <t xml:space="preserve">Capexly_Research_Report_Iter3.md:370; _iter3_sources_table.md:7; notes_iter3.md:98</t>
  </si>
  <si>
    <t xml:space="preserve">R0332</t>
  </si>
  <si>
    <t xml:space="preserve">goskey.bsomsk.ru</t>
  </si>
  <si>
    <t xml:space="preserve">R0333</t>
  </si>
  <si>
    <t xml:space="preserve">gost.ru</t>
  </si>
  <si>
    <t xml:space="preserve">notes_iter4.md:46; _iter4_sources_table.md:5; Capexly_Research_Report_Iter4.md:410</t>
  </si>
  <si>
    <t xml:space="preserve">R0334</t>
  </si>
  <si>
    <t xml:space="preserve">gostinfo.ru</t>
  </si>
  <si>
    <t xml:space="preserve">notes_iter4.md:48; _iter4_sources_table.md:5; Capexly_Research_Report_Iter4.md:410</t>
  </si>
  <si>
    <t xml:space="preserve">R0335</t>
  </si>
  <si>
    <t xml:space="preserve">gradly.ru</t>
  </si>
  <si>
    <t xml:space="preserve">Capexly_Research_Report_Iter3.md:371; _iter3_sources_table.md:8; notes_iter3.md:112</t>
  </si>
  <si>
    <t xml:space="preserve">R0336</t>
  </si>
  <si>
    <t xml:space="preserve">grants.hse.ru</t>
  </si>
  <si>
    <t xml:space="preserve">_iter5_sources_table.md:6; notes_iter5.md:88; Capexly_Research_Report_Iter5.md:538</t>
  </si>
  <si>
    <t xml:space="preserve">R0337</t>
  </si>
  <si>
    <t xml:space="preserve">grouphe.ru</t>
  </si>
  <si>
    <t xml:space="preserve">Capexly_Research_Report_Iter3.md:374; _iter3_sources_table.md:11; notes_iter3.md:170</t>
  </si>
  <si>
    <t xml:space="preserve">R0338</t>
  </si>
  <si>
    <t xml:space="preserve">h-cons.ru</t>
  </si>
  <si>
    <t xml:space="preserve">Capexly_Research_Report_Iter2.md:323; notes_iter2.md:55; _iter2_sources_table.md:8</t>
  </si>
  <si>
    <t xml:space="preserve">R0339</t>
  </si>
  <si>
    <t xml:space="preserve">hallpe.ru</t>
  </si>
  <si>
    <t xml:space="preserve">Capexly_Research_Report_Iter3.md:368; _iter3_sources_table.md:5; notes_iter3.md:49</t>
  </si>
  <si>
    <t xml:space="preserve">R0340</t>
  </si>
  <si>
    <t xml:space="preserve">handle.com</t>
  </si>
  <si>
    <t xml:space="preserve">_iter5_sources_table.md:3; notes_iter5.md:16; Capexly_Research_Report_Iter5.md:33; Capexly_Research_Report_Iter5.md:535</t>
  </si>
  <si>
    <t xml:space="preserve">R0341</t>
  </si>
  <si>
    <t xml:space="preserve">harant.ru</t>
  </si>
  <si>
    <t xml:space="preserve">Capexly_Research_Report_Iter2.md:324; notes_iter2.md:64; _iter2_sources_table.md:9</t>
  </si>
  <si>
    <t xml:space="preserve">R0342</t>
  </si>
  <si>
    <t xml:space="preserve">help.fieldsystems.trimble.com</t>
  </si>
  <si>
    <t xml:space="preserve">Capexly_Research_Report_Iter3.md:369; _iter3_sources_table.md:6; notes_iter3.md:74</t>
  </si>
  <si>
    <t xml:space="preserve">R0343</t>
  </si>
  <si>
    <t xml:space="preserve">helpdesk24.ru</t>
  </si>
  <si>
    <t xml:space="preserve">Capexly_Research_Report_Iter3.md:369; _iter3_sources_table.md:6; notes_iter3.md:62</t>
  </si>
  <si>
    <t xml:space="preserve">R0344</t>
  </si>
  <si>
    <t xml:space="preserve">hh.ru</t>
  </si>
  <si>
    <t xml:space="preserve">Capexly_Research_Report_Iter6_CrossCheck.md:13; Capexly_Research_Report_Iter6_CrossCheck.md:17; Capexly_Research_Report_Iter6_CrossCheck.md:28; Capexly_Research_Report_Iter6_CrossCheck.md:52; Capexly_Research_Report_Iter6_CrossCheck.md:191</t>
  </si>
  <si>
    <t xml:space="preserve">R0345</t>
  </si>
  <si>
    <t xml:space="preserve">hr-director.ru</t>
  </si>
  <si>
    <t xml:space="preserve">notes_iter4.md:8; _iter4_voice_table.md:6; _iter4_sources_table.md:3; Capexly_Research_Report_Iter4.md:55; Capexly_Research_Report_Iter4.md:408</t>
  </si>
  <si>
    <t xml:space="preserve">R0346</t>
  </si>
  <si>
    <t xml:space="preserve">hr-metod.com</t>
  </si>
  <si>
    <t xml:space="preserve">Capexly_Research_Report_Iter3.md:370; _iter3_sources_table.md:7; notes_iter3.md:97</t>
  </si>
  <si>
    <t xml:space="preserve">R0347</t>
  </si>
  <si>
    <t xml:space="preserve">hreb.1pnk.ru</t>
  </si>
  <si>
    <t xml:space="preserve">notes_iter4.md:163; _iter4_sources_table.md:11; Capexly_Research_Report_Iter4.md:416</t>
  </si>
  <si>
    <t xml:space="preserve">R0348</t>
  </si>
  <si>
    <t xml:space="preserve">i-sensor.ru</t>
  </si>
  <si>
    <t xml:space="preserve">R0349</t>
  </si>
  <si>
    <t xml:space="preserve">ibsconstructiongroup.com</t>
  </si>
  <si>
    <t xml:space="preserve">R0350</t>
  </si>
  <si>
    <t xml:space="preserve">icepartners.ru</t>
  </si>
  <si>
    <t xml:space="preserve">Capexly_Research_Report_Iter2.md:322; notes_iter2.md:46; _iter2_sources_table.md:7</t>
  </si>
  <si>
    <t xml:space="preserve">R0351</t>
  </si>
  <si>
    <t xml:space="preserve">ict2go.ru</t>
  </si>
  <si>
    <t xml:space="preserve">R0352</t>
  </si>
  <si>
    <t xml:space="preserve">idenergia.ru</t>
  </si>
  <si>
    <t xml:space="preserve">Capexly_Research_Report_Iter3.md:369; _iter3_sources_table.md:6; notes_iter3.md:68</t>
  </si>
  <si>
    <t xml:space="preserve">R0353</t>
  </si>
  <si>
    <t xml:space="preserve">iesoft.ru</t>
  </si>
  <si>
    <t xml:space="preserve">notes_iter4.md:24; _iter4_sources_table.md:4; Capexly_Research_Report_Iter4.md:409</t>
  </si>
  <si>
    <t xml:space="preserve">R0354</t>
  </si>
  <si>
    <t xml:space="preserve">ilias73.wordpress.com</t>
  </si>
  <si>
    <t xml:space="preserve">Capexly_Research_Report_Iter3.md:376; _iter3_sources_table.md:13; notes_iter3.md:207; notes_iter4.md:15; _iter5_sources_table.md:8</t>
  </si>
  <si>
    <t xml:space="preserve">R0355</t>
  </si>
  <si>
    <t xml:space="preserve">ilstroyteam.ru</t>
  </si>
  <si>
    <t xml:space="preserve">notes_iter4.md:204; _iter4_sources_table.md:13; Capexly_Research_Report_Iter4.md:418</t>
  </si>
  <si>
    <t xml:space="preserve">R0356</t>
  </si>
  <si>
    <t xml:space="preserve">im-journal.ru</t>
  </si>
  <si>
    <t xml:space="preserve">Capexly_Research_Report_Iter6_CrossCheck.md:419; _iter6_sources_table.md:5; notes_iter6_cross.md:46</t>
  </si>
  <si>
    <t xml:space="preserve">R0357</t>
  </si>
  <si>
    <t xml:space="preserve">incrussia.ru</t>
  </si>
  <si>
    <t xml:space="preserve">Capexly_Research_Report_Iter2.md:324; Capexly_Research_Report_Iter3.md:371; _iter3_sources_table.md:8; Capexly_Business_Plan_v1.md:543; notes_iter2.md:60</t>
  </si>
  <si>
    <t xml:space="preserve">R0358</t>
  </si>
  <si>
    <t xml:space="preserve">infostart.ru</t>
  </si>
  <si>
    <t xml:space="preserve">Capexly_Research_Report_Iter3.md:366; _iter3_sources_table.md:3; Capexly_Research_Report_Iter6_CrossCheck.md:418; _iter6_sources_table.md:4; notes_iter3.md:15</t>
  </si>
  <si>
    <t xml:space="preserve">R0359</t>
  </si>
  <si>
    <t xml:space="preserve">ingos.ru</t>
  </si>
  <si>
    <t xml:space="preserve">Capexly_Research_Report_Iter3.md:375; _iter3_sources_table.md:12; notes_iter3.md:189</t>
  </si>
  <si>
    <t xml:space="preserve">R0360</t>
  </si>
  <si>
    <t xml:space="preserve">inilaw.com</t>
  </si>
  <si>
    <t xml:space="preserve">Capexly_Research_Report_Iter3.md:368; _iter3_sources_table.md:5; notes_iter3.md:57; notes_iter3.md:58</t>
  </si>
  <si>
    <t xml:space="preserve">R0361</t>
  </si>
  <si>
    <t xml:space="preserve">intelid.ru</t>
  </si>
  <si>
    <t xml:space="preserve">_iter5_sources_table.md:6; notes_iter5.md:90; Capexly_Research_Report_Iter5.md:538</t>
  </si>
  <si>
    <t xml:space="preserve">R0362</t>
  </si>
  <si>
    <t xml:space="preserve">interfax.ru</t>
  </si>
  <si>
    <t xml:space="preserve">Capexly_Research_Report_Iter3.md:375; _iter3_sources_table.md:12; notes_iter3.md:183</t>
  </si>
  <si>
    <t xml:space="preserve">R0363</t>
  </si>
  <si>
    <t xml:space="preserve">ironpros.com</t>
  </si>
  <si>
    <t xml:space="preserve">R0364</t>
  </si>
  <si>
    <t xml:space="preserve">iskra.garant.ru</t>
  </si>
  <si>
    <t xml:space="preserve">notes_iter4.md:37; _iter4_sources_table.md:4; Capexly_Research_Report_Iter4.md:409</t>
  </si>
  <si>
    <t xml:space="preserve">R0365</t>
  </si>
  <si>
    <t xml:space="preserve">it-lex.ru</t>
  </si>
  <si>
    <t xml:space="preserve">Capexly_Research_Report_Iter3.md:368; _iter3_sources_table.md:5; notes_iter3.md:54</t>
  </si>
  <si>
    <t xml:space="preserve">R0366</t>
  </si>
  <si>
    <t xml:space="preserve">it-stat.ru</t>
  </si>
  <si>
    <t xml:space="preserve">_iter5_sources_table.md:6; notes_iter5.md:86; Capexly_Research_Report_Iter5.md:538</t>
  </si>
  <si>
    <t xml:space="preserve">R0367</t>
  </si>
  <si>
    <t xml:space="preserve">itintegration.ru</t>
  </si>
  <si>
    <t xml:space="preserve">_iter5_sources_table.md:11; notes_iter5.md:167; Capexly_Research_Report_Iter5.md:543</t>
  </si>
  <si>
    <t xml:space="preserve">R0368</t>
  </si>
  <si>
    <t xml:space="preserve">izhtender.ru</t>
  </si>
  <si>
    <t xml:space="preserve">Capexly_Research_Report_Iter3.md:374; _iter3_sources_table.md:11; notes_iter3.md:176</t>
  </si>
  <si>
    <t xml:space="preserve">R0369</t>
  </si>
  <si>
    <t xml:space="preserve">jivo.ru</t>
  </si>
  <si>
    <t xml:space="preserve">notes_iter4.md:182; _iter4_sources_table.md:12; Capexly_Research_Report_Iter4.md:417</t>
  </si>
  <si>
    <t xml:space="preserve">R0370</t>
  </si>
  <si>
    <t xml:space="preserve">k-css.ru</t>
  </si>
  <si>
    <t xml:space="preserve">Capexly_Research_Report_Iter3.md:369; _iter3_sources_table.md:6; notes_iter3.md:64</t>
  </si>
  <si>
    <t xml:space="preserve">R0371</t>
  </si>
  <si>
    <t xml:space="preserve">kad.arbitr.ru</t>
  </si>
  <si>
    <t xml:space="preserve">Capexly_Research_Report_Iter3.md:52; Capexly_Research_Report_Iter3.md:366; _iter3_sources_table.md:3; Capexly_Research_Report.md:398; Capexly_Research_Report.md:608</t>
  </si>
  <si>
    <t xml:space="preserve">R0372</t>
  </si>
  <si>
    <t xml:space="preserve">kaluga-gov.ru</t>
  </si>
  <si>
    <t xml:space="preserve">notes_iter4.md:140; _iter4_sources_table.md:10; Capexly_Research_Report_Iter4.md:415</t>
  </si>
  <si>
    <t xml:space="preserve">R0373</t>
  </si>
  <si>
    <t xml:space="preserve">kamaflow.com</t>
  </si>
  <si>
    <t xml:space="preserve">_iter5_sources_table.md:6; notes_iter5.md:81; Capexly_Research_Report_Iter5.md:33; Capexly_Research_Report_Iter5.md:538</t>
  </si>
  <si>
    <t xml:space="preserve">R0374</t>
  </si>
  <si>
    <t xml:space="preserve">karma-group.ru</t>
  </si>
  <si>
    <t xml:space="preserve">notes_iter4.md:56; _iter4_sources_table.md:5; Capexly_Research_Report_Iter4.md:410</t>
  </si>
  <si>
    <t xml:space="preserve">R0375</t>
  </si>
  <si>
    <t xml:space="preserve">kazna-gov.ru</t>
  </si>
  <si>
    <t xml:space="preserve">Capexly_Research_Report_Iter2.md:320; notes_iter2.md:30; _iter2_sources_table.md:5</t>
  </si>
  <si>
    <t xml:space="preserve">R0376</t>
  </si>
  <si>
    <t xml:space="preserve">kaznahelp.ru</t>
  </si>
  <si>
    <t xml:space="preserve">R0377</t>
  </si>
  <si>
    <t xml:space="preserve">kdpartners.ru</t>
  </si>
  <si>
    <t xml:space="preserve">notes_iter4.md:14; _iter4_voice_table.md:7; _iter4_sources_table.md:3; Capexly_Research_Report_Iter4.md:56; Capexly_Research_Report_Iter4.md:408</t>
  </si>
  <si>
    <t xml:space="preserve">R0378</t>
  </si>
  <si>
    <t xml:space="preserve">kgsn.lenobl.ru</t>
  </si>
  <si>
    <t xml:space="preserve">notes_iter4.md:206; _iter4_sources_table.md:13; Capexly_Research_Report_Iter4.md:418</t>
  </si>
  <si>
    <t xml:space="preserve">R0379</t>
  </si>
  <si>
    <t xml:space="preserve">klerk.ru</t>
  </si>
  <si>
    <t xml:space="preserve">Capexly_Research_Report_Iter2.md:320; Capexly_Research_Report_Iter2.md:324; Capexly_Research_Report_Iter3.md:366; Capexly_Research_Report_Iter3.md:367; Capexly_Research_Report_Iter3.md:368</t>
  </si>
  <si>
    <t xml:space="preserve">R0380</t>
  </si>
  <si>
    <t xml:space="preserve">klyshko.ru</t>
  </si>
  <si>
    <t xml:space="preserve">notes_iter4.md:5; _iter4_sources_table.md:3; Capexly_Research_Report_Iter4.md:408</t>
  </si>
  <si>
    <t xml:space="preserve">R0381</t>
  </si>
  <si>
    <t xml:space="preserve">knowledgelib.io</t>
  </si>
  <si>
    <t xml:space="preserve">_iter5_sources_table.md:7; notes_iter5.md:96; Capexly_Research_Report_Iter5.md:539</t>
  </si>
  <si>
    <t xml:space="preserve">R0382</t>
  </si>
  <si>
    <t xml:space="preserve">kodeks-sib.ru</t>
  </si>
  <si>
    <t xml:space="preserve">Capexly_Research_Report_Iter2.md:323; notes_iter2.md:55; _iter2_sources_table.md:8; notes_iter4.md:105; _iter4_sources_table.md:8</t>
  </si>
  <si>
    <t xml:space="preserve">R0383</t>
  </si>
  <si>
    <t xml:space="preserve">kommersant.ru</t>
  </si>
  <si>
    <t xml:space="preserve">Capexly_Research_Report_Iter2.md:324; Capexly_Research_Report_Iter3.md:368; Capexly_Research_Report_Iter3.md:375; _iter3_sources_table.md:5; _iter3_sources_table.md:12</t>
  </si>
  <si>
    <t xml:space="preserve">R0384</t>
  </si>
  <si>
    <t xml:space="preserve">komrstroy.ru</t>
  </si>
  <si>
    <t xml:space="preserve">notes_iter4.md:69; _iter4_sources_table.md:6; Capexly_Research_Report_Iter4.md:411</t>
  </si>
  <si>
    <t xml:space="preserve">R0385</t>
  </si>
  <si>
    <t xml:space="preserve">konkurent.ru</t>
  </si>
  <si>
    <t xml:space="preserve">Capexly_Research_Report_Iter3.md:374; _iter3_sources_table.md:11; notes_iter3.md:173</t>
  </si>
  <si>
    <t xml:space="preserve">R0386</t>
  </si>
  <si>
    <t xml:space="preserve">kontur42.ru</t>
  </si>
  <si>
    <t xml:space="preserve">R0387</t>
  </si>
  <si>
    <t xml:space="preserve">kp.ru</t>
  </si>
  <si>
    <t xml:space="preserve">_iter5_sources_table.md:14; notes_iter5.md:196; Capexly_Research_Report_Iter5.md:546</t>
  </si>
  <si>
    <t xml:space="preserve">R0388</t>
  </si>
  <si>
    <t xml:space="preserve">krs-sro.ru</t>
  </si>
  <si>
    <t xml:space="preserve">Capexly_Research_Report_Iter3.md:373; _iter3_sources_table.md:10; notes_iter3.md:145</t>
  </si>
  <si>
    <t xml:space="preserve">R0389</t>
  </si>
  <si>
    <t xml:space="preserve">ksp.org.ru</t>
  </si>
  <si>
    <t xml:space="preserve">Capexly_Research_Report_Iter3.md:374; _iter3_sources_table.md:11; notes_iter3.md:175</t>
  </si>
  <si>
    <t xml:space="preserve">R0390</t>
  </si>
  <si>
    <t xml:space="preserve">kt-team.ru</t>
  </si>
  <si>
    <t xml:space="preserve">Capexly_Research_Report_Iter2.md:97; Capexly_Research_Report_Iter2.md:319; Capexly_Research_Report_Iter2.md:322; Capexly_Research_Report_Iter3.md:369; _iter3_sources_table.md:6</t>
  </si>
  <si>
    <t xml:space="preserve">R0391</t>
  </si>
  <si>
    <t xml:space="preserve">landlawfirm.ru</t>
  </si>
  <si>
    <t xml:space="preserve">_iter5_sources_table.md:8; notes_iter5.md:114; Capexly_Research_Report_Iter5.md:540</t>
  </si>
  <si>
    <t xml:space="preserve">R0392</t>
  </si>
  <si>
    <t xml:space="preserve">law.ru</t>
  </si>
  <si>
    <t xml:space="preserve">notes_iter4.md:148; _iter4_sources_table.md:10; Capexly_Research_Report_Iter4.md:415</t>
  </si>
  <si>
    <t xml:space="preserve">R0393</t>
  </si>
  <si>
    <t xml:space="preserve">lawgpt.ru</t>
  </si>
  <si>
    <t xml:space="preserve">notes_iter4.md:142; _iter4_sources_table.md:10; Capexly_Research_Report_Iter4.md:415</t>
  </si>
  <si>
    <t xml:space="preserve">R0394</t>
  </si>
  <si>
    <t xml:space="preserve">lbxbilling.ru</t>
  </si>
  <si>
    <t xml:space="preserve">_iter5_sources_table.md:7; notes_iter5.md:102; Capexly_Research_Report_Iter5.md:539</t>
  </si>
  <si>
    <t xml:space="preserve">R0395</t>
  </si>
  <si>
    <t xml:space="preserve">legalacts.ru</t>
  </si>
  <si>
    <t xml:space="preserve">_iter5_sources_table.md:8; notes_iter5.md:115; Capexly_Research_Report_Iter5.md:33; Capexly_Research_Report_Iter5.md:540</t>
  </si>
  <si>
    <t xml:space="preserve">R0396</t>
  </si>
  <si>
    <t xml:space="preserve">legaltech.ru</t>
  </si>
  <si>
    <t xml:space="preserve">Capexly_Research_Report_Iter2.md:130; notes_iter2.md:125</t>
  </si>
  <si>
    <t xml:space="preserve">R0397</t>
  </si>
  <si>
    <t xml:space="preserve">levelset.com</t>
  </si>
  <si>
    <t xml:space="preserve">_iter5_sources_table.md:3; notes_iter5.md:22; Capexly_Research_Report_Iter5.md:535</t>
  </si>
  <si>
    <t xml:space="preserve">R0398</t>
  </si>
  <si>
    <t xml:space="preserve">lex-pravo.ru</t>
  </si>
  <si>
    <t xml:space="preserve">Capexly_Research_Report_Iter3.md:376; _iter3_sources_table.md:13; notes_iter3.md:209</t>
  </si>
  <si>
    <t xml:space="preserve">R0399</t>
  </si>
  <si>
    <t xml:space="preserve">li-sro.ru</t>
  </si>
  <si>
    <t xml:space="preserve">notes_iter4.md:175; _iter4_sources_table.md:12; Capexly_Research_Report_Iter4.md:417</t>
  </si>
  <si>
    <t xml:space="preserve">R0400</t>
  </si>
  <si>
    <t xml:space="preserve">licenziya-minkult.ru</t>
  </si>
  <si>
    <t xml:space="preserve">Capexly_Research_Report_Iter3.md:374; _iter3_sources_table.md:11; notes_iter3.md:172</t>
  </si>
  <si>
    <t xml:space="preserve">R0401</t>
  </si>
  <si>
    <t xml:space="preserve">liendone.com</t>
  </si>
  <si>
    <t xml:space="preserve">_iter5_sources_table.md:3; notes_iter5.md:25; Capexly_Research_Report_Iter5.md:535</t>
  </si>
  <si>
    <t xml:space="preserve">R0402</t>
  </si>
  <si>
    <t xml:space="preserve">lightercapital.com</t>
  </si>
  <si>
    <t xml:space="preserve">_iter5_sources_table.md:7; notes_iter5.md:95; Capexly_Research_Report_Iter5.md:539</t>
  </si>
  <si>
    <t xml:space="preserve">R0403</t>
  </si>
  <si>
    <t xml:space="preserve">linqo.ru</t>
  </si>
  <si>
    <t xml:space="preserve">R0404</t>
  </si>
  <si>
    <t xml:space="preserve">lkot.mintrud.gov.ru</t>
  </si>
  <si>
    <t xml:space="preserve">R0405</t>
  </si>
  <si>
    <t xml:space="preserve">logos-pravo.ru</t>
  </si>
  <si>
    <t xml:space="preserve">_iter5_sources_table.md:9; notes_iter5.md:137; Capexly_Research_Report_Iter5.md:541</t>
  </si>
  <si>
    <t xml:space="preserve">R0406</t>
  </si>
  <si>
    <t xml:space="preserve">lumay.ai</t>
  </si>
  <si>
    <t xml:space="preserve">R0407</t>
  </si>
  <si>
    <t xml:space="preserve">marketscale.com</t>
  </si>
  <si>
    <t xml:space="preserve">Capexly_Research_Report_Iter3.md:372; _iter3_sources_table.md:9; notes_iter3.md:127</t>
  </si>
  <si>
    <t xml:space="preserve">R0408</t>
  </si>
  <si>
    <t xml:space="preserve">mastersoft.ru</t>
  </si>
  <si>
    <t xml:space="preserve">notes_iter4.md:109; _iter4_sources_table.md:8; Capexly_Research_Report_Iter4.md:413</t>
  </si>
  <si>
    <t xml:space="preserve">R0409</t>
  </si>
  <si>
    <t xml:space="preserve">mastersplan.ru</t>
  </si>
  <si>
    <t xml:space="preserve">Capexly_Research_Report_Iter2.md:318; notes_iter2.md:9; _iter2_sources_table.md:3</t>
  </si>
  <si>
    <t xml:space="preserve">R0410</t>
  </si>
  <si>
    <t xml:space="preserve">mavego.ru</t>
  </si>
  <si>
    <t xml:space="preserve">Capexly_Research_Report_Iter3.md:370; _iter3_sources_table.md:7; notes_iter3.md:85</t>
  </si>
  <si>
    <t xml:space="preserve">R0411</t>
  </si>
  <si>
    <t xml:space="preserve">mclouds.ru</t>
  </si>
  <si>
    <t xml:space="preserve">R0412</t>
  </si>
  <si>
    <t xml:space="preserve">mdlicenzia.ru</t>
  </si>
  <si>
    <t xml:space="preserve">notes_iter4.md:72; _iter4_sources_table.md:6; Capexly_Research_Report_Iter4.md:411</t>
  </si>
  <si>
    <t xml:space="preserve">R0413</t>
  </si>
  <si>
    <t xml:space="preserve">medtrain.ru</t>
  </si>
  <si>
    <t xml:space="preserve">Capexly_Research_Report_Iter3.md:366; _iter3_sources_table.md:3; notes_iter3.md:20</t>
  </si>
  <si>
    <t xml:space="preserve">R0414</t>
  </si>
  <si>
    <t xml:space="preserve">meganorm.ru</t>
  </si>
  <si>
    <t xml:space="preserve">Capexly_Research_Report_Iter3.md:373; _iter3_sources_table.md:10; notes_iter3.md:155; notes_iter4.md:89; _iter4_sources_table.md:7</t>
  </si>
  <si>
    <t xml:space="preserve">R0415</t>
  </si>
  <si>
    <t xml:space="preserve">mentoday.ru</t>
  </si>
  <si>
    <t xml:space="preserve">Capexly_Research_Report_Iter3.md:367; _iter3_sources_table.md:4; notes_iter3.md:34; notes_iter4.md:133; _iter4_sources_table.md:10</t>
  </si>
  <si>
    <t xml:space="preserve">R0416</t>
  </si>
  <si>
    <t xml:space="preserve">mergers.ru</t>
  </si>
  <si>
    <t xml:space="preserve">_iter5_sources_table.md:6; notes_iter5.md:73; Capexly_Research_Report_Iter5.md:538</t>
  </si>
  <si>
    <t xml:space="preserve">R0417</t>
  </si>
  <si>
    <t xml:space="preserve">mertech.ru</t>
  </si>
  <si>
    <t xml:space="preserve">Capexly_Research_Report_Iter6_CrossCheck.md:203; Capexly_Research_Report_Iter6_CrossCheck.md:418; _iter6_sources_table.md:4; _iter6_calendar_table.md:3; notes_iter6_cross.md:31</t>
  </si>
  <si>
    <t xml:space="preserve">R0418</t>
  </si>
  <si>
    <t xml:space="preserve">migranto.ru</t>
  </si>
  <si>
    <t xml:space="preserve">Capexly_Research_Report_Iter6_CrossCheck.md:418; _iter6_sources_table.md:4; notes_iter6_cross.md:37</t>
  </si>
  <si>
    <t xml:space="preserve">R0419</t>
  </si>
  <si>
    <t xml:space="preserve">mikhalit.ru</t>
  </si>
  <si>
    <t xml:space="preserve">R0420</t>
  </si>
  <si>
    <t xml:space="preserve">mindbox.ru</t>
  </si>
  <si>
    <t xml:space="preserve">Capexly_Research_Report_Iter3.md:371; _iter3_sources_table.md:8; notes_iter3.md:113</t>
  </si>
  <si>
    <t xml:space="preserve">R0421</t>
  </si>
  <si>
    <t xml:space="preserve">minstroyrf.gov.ru</t>
  </si>
  <si>
    <t xml:space="preserve">Capexly_Research_Report_Iter3.md:110; Capexly_Research_Report_Iter3.md:286; Capexly_Research_Report_Iter3.md:369; _iter3_sources_table.md:6; notes_iter3.md:66</t>
  </si>
  <si>
    <t xml:space="preserve">R0422</t>
  </si>
  <si>
    <t xml:space="preserve">mirkvartir.ru</t>
  </si>
  <si>
    <t xml:space="preserve">notes_iter4.md:59; _iter4_voice_table.md:16; _iter4_sources_table.md:6; Capexly_Research_Report_Iter4.md:65; Capexly_Research_Report_Iter4.md:411</t>
  </si>
  <si>
    <t xml:space="preserve">R0423</t>
  </si>
  <si>
    <t xml:space="preserve">moedelo.org</t>
  </si>
  <si>
    <t xml:space="preserve">notes_iter4.md:81; _iter5_sources_table.md:10; notes_iter5.md:153; _iter4_sources_table.md:7; Capexly_Research_Report_Iter4.md:412</t>
  </si>
  <si>
    <t xml:space="preserve">R0424</t>
  </si>
  <si>
    <t xml:space="preserve">moltgeo.ru</t>
  </si>
  <si>
    <t xml:space="preserve">R0425</t>
  </si>
  <si>
    <t xml:space="preserve">moneytimes.ru</t>
  </si>
  <si>
    <t xml:space="preserve">Capexly_Research_Report_Iter2.md:324; notes_iter2.md:60; _iter2_sources_table.md:9</t>
  </si>
  <si>
    <t xml:space="preserve">R0426</t>
  </si>
  <si>
    <t xml:space="preserve">monolitkapstroy.ru</t>
  </si>
  <si>
    <t xml:space="preserve">Capexly_Research_Report_Iter3.md:373; _iter3_sources_table.md:10; notes_iter3.md:153</t>
  </si>
  <si>
    <t xml:space="preserve">R0427</t>
  </si>
  <si>
    <t xml:space="preserve">morana-labs.com</t>
  </si>
  <si>
    <t xml:space="preserve">notes_iter4.md:50; _iter4_sources_table.md:5; Capexly_Research_Report_Iter4.md:410</t>
  </si>
  <si>
    <t xml:space="preserve">R0428</t>
  </si>
  <si>
    <t xml:space="preserve">mos.gosnadzor.ru</t>
  </si>
  <si>
    <t xml:space="preserve">notes_iter4.md:82; _iter4_sources_table.md:7; Capexly_Research_Report_Iter4.md:412</t>
  </si>
  <si>
    <t xml:space="preserve">R0429</t>
  </si>
  <si>
    <t xml:space="preserve">mos.ru</t>
  </si>
  <si>
    <t xml:space="preserve">_iter4_spec_table.md:3; notes_iter4.md:83; _iter4_sources_table.md:7; Capexly_Research_Report_Iter4.md:144; Capexly_Research_Report_Iter4.md:412</t>
  </si>
  <si>
    <t xml:space="preserve">R0430</t>
  </si>
  <si>
    <t xml:space="preserve">moshousing.ru</t>
  </si>
  <si>
    <t xml:space="preserve">Capexly_Research_Report_Iter3.md:367; _iter3_sources_table.md:4; notes_iter3.md:30</t>
  </si>
  <si>
    <t xml:space="preserve">R0431</t>
  </si>
  <si>
    <t xml:space="preserve">mperspektiva.ru</t>
  </si>
  <si>
    <t xml:space="preserve">notes_iter4.md:66; notes_iter4.md:164; _iter4_sources_table.md:6; _iter4_sources_table.md:11; Capexly_Research_Report_Iter4.md:411</t>
  </si>
  <si>
    <t xml:space="preserve">R0432</t>
  </si>
  <si>
    <t xml:space="preserve">mtkconsulting.ru</t>
  </si>
  <si>
    <t xml:space="preserve">Capexly_Research_Report_Iter3.md:368; _iter3_sources_table.md:5; notes_iter3.md:55</t>
  </si>
  <si>
    <t xml:space="preserve">R0433</t>
  </si>
  <si>
    <t xml:space="preserve">mypl.pro</t>
  </si>
  <si>
    <t xml:space="preserve">notes_iter4.md:52; _iter4_sources_table.md:5; Capexly_Research_Report_Iter4.md:410</t>
  </si>
  <si>
    <t xml:space="preserve">R0434</t>
  </si>
  <si>
    <t xml:space="preserve">nark.ru</t>
  </si>
  <si>
    <t xml:space="preserve">Capexly_Research_Report_Iter3.md:366; _iter3_sources_table.md:3; notes_iter3.md:23</t>
  </si>
  <si>
    <t xml:space="preserve">R0435</t>
  </si>
  <si>
    <t xml:space="preserve">nb-law.com</t>
  </si>
  <si>
    <t xml:space="preserve">R0436</t>
  </si>
  <si>
    <t xml:space="preserve">neurocorp.ru</t>
  </si>
  <si>
    <t xml:space="preserve">Capexly_Research_Report_Iter3.md:368; _iter3_sources_table.md:5; notes_iter3.md:52</t>
  </si>
  <si>
    <t xml:space="preserve">R0437</t>
  </si>
  <si>
    <t xml:space="preserve">neurogrid.ru</t>
  </si>
  <si>
    <t xml:space="preserve">R0438</t>
  </si>
  <si>
    <t xml:space="preserve">neurolegal.ya.ru</t>
  </si>
  <si>
    <t xml:space="preserve">notes_iter4.md:34; _iter4_sources_table.md:4; Capexly_Research_Report_Iter4.md:409</t>
  </si>
  <si>
    <t xml:space="preserve">R0439</t>
  </si>
  <si>
    <t xml:space="preserve">neurozeh.ru</t>
  </si>
  <si>
    <t xml:space="preserve">_iter5_sources_table.md:14; notes_iter5.md:197; Capexly_Research_Report_Iter5.md:546</t>
  </si>
  <si>
    <t xml:space="preserve">R0440</t>
  </si>
  <si>
    <t xml:space="preserve">nevskylaw.ru</t>
  </si>
  <si>
    <t xml:space="preserve">notes_iter4.md:49; _iter4_sources_table.md:5; Capexly_Research_Report_Iter4.md:410</t>
  </si>
  <si>
    <t xml:space="preserve">R0441</t>
  </si>
  <si>
    <t xml:space="preserve">niisf.org</t>
  </si>
  <si>
    <t xml:space="preserve">Capexly_Research_Report_Iter3.md:369; _iter3_sources_table.md:6; notes_iter3.md:66</t>
  </si>
  <si>
    <t xml:space="preserve">R0442</t>
  </si>
  <si>
    <t xml:space="preserve">nilstroi.ru</t>
  </si>
  <si>
    <t xml:space="preserve">R0443</t>
  </si>
  <si>
    <t xml:space="preserve">noboring-finance.ru</t>
  </si>
  <si>
    <t xml:space="preserve">Capexly_Research_Report_Iter3.md:372; _iter3_sources_table.md:9; notes_iter3.md:135</t>
  </si>
  <si>
    <t xml:space="preserve">R0444</t>
  </si>
  <si>
    <t xml:space="preserve">noltis.ru</t>
  </si>
  <si>
    <t xml:space="preserve">notes_iter4.md:51; _iter4_sources_table.md:5; Capexly_Research_Report_Iter4.md:410</t>
  </si>
  <si>
    <t xml:space="preserve">R0445</t>
  </si>
  <si>
    <t xml:space="preserve">nopaper.ru</t>
  </si>
  <si>
    <t xml:space="preserve">_iter5_sources_table.md:8; notes_iter5.md:111; notes_iter5.md:122; Capexly_Research_Report_Iter5.md:540</t>
  </si>
  <si>
    <t xml:space="preserve">R0446</t>
  </si>
  <si>
    <t xml:space="preserve">normativ.kontur.ru</t>
  </si>
  <si>
    <t xml:space="preserve">Capexly_Research_Report_Iter3.md:369; Capexly_Research_Report_Iter3.md:373; _iter3_sources_table.md:6; _iter3_sources_table.md:10; notes_iter3.md:67</t>
  </si>
  <si>
    <t xml:space="preserve">R0447</t>
  </si>
  <si>
    <t xml:space="preserve">normix.ai</t>
  </si>
  <si>
    <t xml:space="preserve">Capexly_Research_Report_Iter2.md:65; Capexly_Research_Report.md:144; Capexly_Research_Report.md:205; Capexly_Research_Report.md:564; _ideas_table.md:16</t>
  </si>
  <si>
    <t xml:space="preserve">R0448</t>
  </si>
  <si>
    <t xml:space="preserve">nostroy.ru</t>
  </si>
  <si>
    <t xml:space="preserve">Capexly_Research_Report_Iter3.md:371; Capexly_Research_Report_Iter3.md:374; _iter3_sources_table.md:8; _iter3_sources_table.md:11; notes_iter3.md:111</t>
  </si>
  <si>
    <t xml:space="preserve">R0449</t>
  </si>
  <si>
    <t xml:space="preserve">notim.ru</t>
  </si>
  <si>
    <t xml:space="preserve">notes_iter4.md:16; _iter4_sources_table.md:3; Capexly_Research_Report_Iter4.md:408</t>
  </si>
  <si>
    <t xml:space="preserve">R0450</t>
  </si>
  <si>
    <t xml:space="preserve">npoekt.ru</t>
  </si>
  <si>
    <t xml:space="preserve">Capexly_Research_Report_Iter3.md:370; _iter3_sources_table.md:7; notes_iter3.md:88; notes_iter3.md:90</t>
  </si>
  <si>
    <t xml:space="preserve">R0451</t>
  </si>
  <si>
    <t xml:space="preserve">nrs.nostroy.ru</t>
  </si>
  <si>
    <t xml:space="preserve">Capexly_Research_Report_Iter3.md:371; _iter3_sources_table.md:8; notes_iter3.md:108; notes_iter4.md:158; _iter4_sources_table.md:11</t>
  </si>
  <si>
    <t xml:space="preserve">R0452</t>
  </si>
  <si>
    <t xml:space="preserve">nso-construct.ru</t>
  </si>
  <si>
    <t xml:space="preserve">Capexly_Research_Report_Iter3.md:369; _iter3_sources_table.md:6; notes_iter3.md:80</t>
  </si>
  <si>
    <t xml:space="preserve">R0453</t>
  </si>
  <si>
    <t xml:space="preserve">nsp.ru</t>
  </si>
  <si>
    <t xml:space="preserve">Capexly_Research_Report_Iter2.md:319; Capexly_Research_Report_Iter2.md:323; notes_iter2.md:21; notes_iter2.md:55; _iter2_sources_table.md:4</t>
  </si>
  <si>
    <t xml:space="preserve">R0454</t>
  </si>
  <si>
    <t xml:space="preserve">obsledovanie-zdaniya.ru</t>
  </si>
  <si>
    <t xml:space="preserve">R0455</t>
  </si>
  <si>
    <t xml:space="preserve">obuchim-specialista.ru</t>
  </si>
  <si>
    <t xml:space="preserve">notes_iter4.md:32; _iter4_sources_table.md:4; Capexly_Research_Report_Iter4.md:409</t>
  </si>
  <si>
    <t xml:space="preserve">R0456</t>
  </si>
  <si>
    <t xml:space="preserve">ofox.ai</t>
  </si>
  <si>
    <t xml:space="preserve">notes_iter4.md:40; _iter4_sources_table.md:5; Capexly_Research_Report_Iter4.md:410</t>
  </si>
  <si>
    <t xml:space="preserve">R0457</t>
  </si>
  <si>
    <t xml:space="preserve">okdesk.ru</t>
  </si>
  <si>
    <t xml:space="preserve">_iter5_sources_table.md:7; notes_iter5.md:100; Capexly_Research_Report_Iter5.md:539</t>
  </si>
  <si>
    <t xml:space="preserve">R0458</t>
  </si>
  <si>
    <t xml:space="preserve">oktober-adm.ru</t>
  </si>
  <si>
    <t xml:space="preserve">R0459</t>
  </si>
  <si>
    <t xml:space="preserve">olimp-ekspert.ru</t>
  </si>
  <si>
    <t xml:space="preserve">Capexly_Research_Report_Iter2.md:324; notes_iter2.md:62; _iter2_sources_table.md:9</t>
  </si>
  <si>
    <t xml:space="preserve">R0460</t>
  </si>
  <si>
    <t xml:space="preserve">onff.ru</t>
  </si>
  <si>
    <t xml:space="preserve">Capexly_Research_Report_Iter3.md:375; _iter3_sources_table.md:12; notes_iter3.md:194</t>
  </si>
  <si>
    <t xml:space="preserve">R0461</t>
  </si>
  <si>
    <t xml:space="preserve">ont-lab.ru</t>
  </si>
  <si>
    <t xml:space="preserve">Capexly_Research_Report_Iter2.md:323; notes_iter2.md:51; _iter2_sources_table.md:8</t>
  </si>
  <si>
    <t xml:space="preserve">R0462</t>
  </si>
  <si>
    <t xml:space="preserve">opalubkavspb.ru</t>
  </si>
  <si>
    <t xml:space="preserve">R0463</t>
  </si>
  <si>
    <t xml:space="preserve">orelgrad.ru</t>
  </si>
  <si>
    <t xml:space="preserve">Capexly_Research_Report_Iter3.md:374; _iter3_sources_table.md:11; notes_iter3.md:174</t>
  </si>
  <si>
    <t xml:space="preserve">R0464</t>
  </si>
  <si>
    <t xml:space="preserve">otpravka.pochta.ru</t>
  </si>
  <si>
    <t xml:space="preserve">_iter4_stack_table.md:12; Capexly_Research_Report_Iter3.md:367; _iter3_sources_table.md:4; notes_iter3.md:36; notes_iter4.md:134</t>
  </si>
  <si>
    <t xml:space="preserve">R0465</t>
  </si>
  <si>
    <t xml:space="preserve">oxmaint.com</t>
  </si>
  <si>
    <t xml:space="preserve">_iter5_sources_table.md:5; notes_iter5.md:57; Capexly_Research_Report_Iter5.md:537</t>
  </si>
  <si>
    <t xml:space="preserve">R0466</t>
  </si>
  <si>
    <t xml:space="preserve">p-p-r.ru</t>
  </si>
  <si>
    <t xml:space="preserve">Capexly_Research_Report_Iter3.md:370; Capexly_Research_Report_Iter3.md:373; _iter3_sources_table.md:7; _iter3_sources_table.md:10; notes_iter3.md:83</t>
  </si>
  <si>
    <t xml:space="preserve">R0467</t>
  </si>
  <si>
    <t xml:space="preserve">pabgi.ru</t>
  </si>
  <si>
    <t xml:space="preserve">Capexly_Research_Report_Iter3.md:376; _iter3_sources_table.md:13; notes_iter3.md:214</t>
  </si>
  <si>
    <t xml:space="preserve">R0468</t>
  </si>
  <si>
    <t xml:space="preserve">pampadu.ru</t>
  </si>
  <si>
    <t xml:space="preserve">_iter5_sources_table.md:13; notes_iter5.md:180; Capexly_Research_Report_Iter5.md:545</t>
  </si>
  <si>
    <t xml:space="preserve">R0469</t>
  </si>
  <si>
    <t xml:space="preserve">paolymp.ru</t>
  </si>
  <si>
    <t xml:space="preserve">Capexly_Research_Report_Iter3.md:370; _iter3_sources_table.md:7; notes_iter3.md:93; notes_iter4.md:74; _iter4_sources_table.md:6</t>
  </si>
  <si>
    <t xml:space="preserve">R0470</t>
  </si>
  <si>
    <t xml:space="preserve">paritet-project.ru</t>
  </si>
  <si>
    <t xml:space="preserve">Capexly_Research_Report_Iter3.md:370; _iter3_sources_table.md:7; notes_iter3.md:87</t>
  </si>
  <si>
    <t xml:space="preserve">R0471</t>
  </si>
  <si>
    <t xml:space="preserve">patent-family.ru</t>
  </si>
  <si>
    <t xml:space="preserve">Capexly_Research_Report_Iter3.md:368; _iter3_sources_table.md:5; notes_iter3.md:58</t>
  </si>
  <si>
    <t xml:space="preserve">R0472</t>
  </si>
  <si>
    <t xml:space="preserve">pawetta.com</t>
  </si>
  <si>
    <t xml:space="preserve">Capexly_Research_Report_Iter6_CrossCheck.md:417; _iter6_sources_table.md:3; notes_iter4.md:101; notes_iter6_cross.md:23; _iter4_sources_table.md:8</t>
  </si>
  <si>
    <t xml:space="preserve">R0473</t>
  </si>
  <si>
    <t xml:space="preserve">pay.yandex.ru</t>
  </si>
  <si>
    <t xml:space="preserve">R0474</t>
  </si>
  <si>
    <t xml:space="preserve">pdo-osnova.ru</t>
  </si>
  <si>
    <t xml:space="preserve">R0475</t>
  </si>
  <si>
    <t xml:space="preserve">perco.ru</t>
  </si>
  <si>
    <t xml:space="preserve">R0476</t>
  </si>
  <si>
    <t xml:space="preserve">pik-finance.ru</t>
  </si>
  <si>
    <t xml:space="preserve">Capexly_Research_Report_Iter2.md:322; notes_iter2.md:44; _iter2_sources_table.md:7</t>
  </si>
  <si>
    <t xml:space="preserve">R0477</t>
  </si>
  <si>
    <t xml:space="preserve">pikgeo.ru</t>
  </si>
  <si>
    <t xml:space="preserve">Capexly_Research_Report_Iter2.md:62; Capexly_Research_Report_Iter2.md:318; notes_iter2.md:5; _iter2_sources_table.md:3</t>
  </si>
  <si>
    <t xml:space="preserve">R0478</t>
  </si>
  <si>
    <t xml:space="preserve">pitchbook.com</t>
  </si>
  <si>
    <t xml:space="preserve">_iter5_sources_table.md:3; notes_iter5.md:20; Capexly_Research_Report_Iter5.md:33; Capexly_Research_Report_Iter5.md:535</t>
  </si>
  <si>
    <t xml:space="preserve">R0479</t>
  </si>
  <si>
    <t xml:space="preserve">planradar.com</t>
  </si>
  <si>
    <t xml:space="preserve">Capexly_Research_Report_Iter3.md:375; _iter3_sources_table.md:12; notes_iter3.md:197</t>
  </si>
  <si>
    <t xml:space="preserve">R0480</t>
  </si>
  <si>
    <t xml:space="preserve">po-ptp.ru</t>
  </si>
  <si>
    <t xml:space="preserve">R0481</t>
  </si>
  <si>
    <t xml:space="preserve">pochta.ru</t>
  </si>
  <si>
    <t xml:space="preserve">Capexly_Research_Report_Iter3.md:367; _iter3_sources_table.md:4; notes_iter3.md:36; notes_iter4.md:134; _iter4_sources_table.md:10</t>
  </si>
  <si>
    <t xml:space="preserve">R0482</t>
  </si>
  <si>
    <t xml:space="preserve">podpisal.ru</t>
  </si>
  <si>
    <t xml:space="preserve">notes_iter4.md:155; _iter4_sources_table.md:11; Capexly_Research_Report_Iter4.md:416</t>
  </si>
  <si>
    <t xml:space="preserve">R0483</t>
  </si>
  <si>
    <t xml:space="preserve">ppr48.ru</t>
  </si>
  <si>
    <t xml:space="preserve">Capexly_Research_Report.md:549</t>
  </si>
  <si>
    <t xml:space="preserve">R0484</t>
  </si>
  <si>
    <t xml:space="preserve">pprpro.ru</t>
  </si>
  <si>
    <t xml:space="preserve">Capexly_Research_Report_Iter3.md:370; _iter3_sources_table.md:7; notes_iter3.md:86</t>
  </si>
  <si>
    <t xml:space="preserve">R0485</t>
  </si>
  <si>
    <t xml:space="preserve">pravda-tv.ru</t>
  </si>
  <si>
    <t xml:space="preserve">notes_iter4.md:165; _iter4_sources_table.md:11; Capexly_Research_Report_Iter4.md:416</t>
  </si>
  <si>
    <t xml:space="preserve">R0486</t>
  </si>
  <si>
    <t xml:space="preserve">pravo.ru</t>
  </si>
  <si>
    <t xml:space="preserve">notes_iter4.md:117; _iter4_sources_table.md:9; Capexly_Research_Report_Iter4.md:414</t>
  </si>
  <si>
    <t xml:space="preserve">R0487</t>
  </si>
  <si>
    <t xml:space="preserve">pravoprim.spbu.ru</t>
  </si>
  <si>
    <t xml:space="preserve">_iter5_sources_table.md:9; notes_iter5.md:138; Capexly_Research_Report_Iter5.md:541</t>
  </si>
  <si>
    <t xml:space="preserve">R0488</t>
  </si>
  <si>
    <t xml:space="preserve">pravoved.ru</t>
  </si>
  <si>
    <t xml:space="preserve">Capexly_Research_Report_Iter2.md:324; Capexly_Research_Report_Iter3.md:367; _iter3_sources_table.md:4; notes_iter2.md:66; _iter2_sources_table.md:9</t>
  </si>
  <si>
    <t xml:space="preserve">R0489</t>
  </si>
  <si>
    <t xml:space="preserve">pravovik24.ru</t>
  </si>
  <si>
    <t xml:space="preserve">R0490</t>
  </si>
  <si>
    <t xml:space="preserve">priemka-pro.ru</t>
  </si>
  <si>
    <t xml:space="preserve">notes_iter4.md:186; _iter4_sources_table.md:12; Capexly_Research_Report_Iter4.md:417</t>
  </si>
  <si>
    <t xml:space="preserve">R0491</t>
  </si>
  <si>
    <t xml:space="preserve">prin.ru</t>
  </si>
  <si>
    <t xml:space="preserve">Capexly_Research_Report_Iter3.md:369; _iter3_sources_table.md:6; notes_iter3.md:71; notes_iter3.md:75</t>
  </si>
  <si>
    <t xml:space="preserve">R0492</t>
  </si>
  <si>
    <t xml:space="preserve">privol.gosnadzor.ru</t>
  </si>
  <si>
    <t xml:space="preserve">notes_iter4.md:208; _iter4_sources_table.md:13; Capexly_Research_Report_Iter4.md:418</t>
  </si>
  <si>
    <t xml:space="preserve">R0493</t>
  </si>
  <si>
    <t xml:space="preserve">prnewswire.com</t>
  </si>
  <si>
    <t xml:space="preserve">R0494</t>
  </si>
  <si>
    <t xml:space="preserve">pro-goszakaz.ru</t>
  </si>
  <si>
    <t xml:space="preserve">notes_iter4.md:157; notes_iter4.md:201; notes_iter4.md:202; _iter4_sources_table.md:11; _iter4_sources_table.md:13</t>
  </si>
  <si>
    <t xml:space="preserve">R0495</t>
  </si>
  <si>
    <t xml:space="preserve">procore.com</t>
  </si>
  <si>
    <t xml:space="preserve">Capexly_Research_Report_Iter2.md:325; notes_iter2.md:73; _iter2_sources_table.md:10; _iter5_sources_table.md:3; _iter5_sources_table.md:6</t>
  </si>
  <si>
    <t xml:space="preserve">R0496</t>
  </si>
  <si>
    <t xml:space="preserve">profcourse.ru</t>
  </si>
  <si>
    <t xml:space="preserve">Capexly_Research_Report_Iter3.md:374; _iter3_sources_table.md:11; notes_iter3.md:168</t>
  </si>
  <si>
    <t xml:space="preserve">R0497</t>
  </si>
  <si>
    <t xml:space="preserve">profipto.com</t>
  </si>
  <si>
    <t xml:space="preserve">Capexly_Research_Report_Iter3.md:370; _iter3_sources_table.md:7; notes_iter3.md:89</t>
  </si>
  <si>
    <t xml:space="preserve">R0498</t>
  </si>
  <si>
    <t xml:space="preserve">proindi.ru</t>
  </si>
  <si>
    <t xml:space="preserve">notes_iter4.md:103; _iter4_sources_table.md:8; Capexly_Research_Report_Iter4.md:413</t>
  </si>
  <si>
    <t xml:space="preserve">R0499</t>
  </si>
  <si>
    <t xml:space="preserve">proverki.rbc.ru</t>
  </si>
  <si>
    <t xml:space="preserve">_iter5_sources_table.md:9; notes_iter5.md:139; Capexly_Research_Report_Iter5.md:541</t>
  </si>
  <si>
    <t xml:space="preserve">R0500</t>
  </si>
  <si>
    <t xml:space="preserve">psk-rent.ru</t>
  </si>
  <si>
    <t xml:space="preserve">R0501</t>
  </si>
  <si>
    <t xml:space="preserve">psstandart.ru</t>
  </si>
  <si>
    <t xml:space="preserve">_iter5_sources_table.md:13; notes_iter5.md:182; Capexly_Research_Report_Iter5.md:545</t>
  </si>
  <si>
    <t xml:space="preserve">R0502</t>
  </si>
  <si>
    <t xml:space="preserve">pto-ai.com</t>
  </si>
  <si>
    <t xml:space="preserve">Capexly_Research_Report_Iter6_CrossCheck.md:221; Capexly_Research_Report_Iter6_CrossCheck.md:241; Capexly_Research_Report_Iter6_CrossCheck.md:417; Capexly_Research_Report_Iter6_CrossCheck.md:520; _iter6_sigmap_table.md:91</t>
  </si>
  <si>
    <t xml:space="preserve">R0503</t>
  </si>
  <si>
    <t xml:space="preserve">pto-app.ru</t>
  </si>
  <si>
    <t xml:space="preserve">_iter4_comp_table.md:5; notes_iter4.md:31; _iter4_sources_table.md:4; Capexly_Research_Report_Iter4.md:105; Capexly_Research_Report_Iter4.md:409</t>
  </si>
  <si>
    <t xml:space="preserve">R0504</t>
  </si>
  <si>
    <t xml:space="preserve">pulse2.com</t>
  </si>
  <si>
    <t xml:space="preserve">_iter5_sources_table.md:4; notes_iter5.md:31; Capexly_Research_Report_Iter5.md:536</t>
  </si>
  <si>
    <t xml:space="preserve">R0505</t>
  </si>
  <si>
    <t xml:space="preserve">quick-offer.ru</t>
  </si>
  <si>
    <t xml:space="preserve">_iter5_sources_table.md:11; notes_iter5.md:163; Capexly_Research_Report_Iter5.md:543</t>
  </si>
  <si>
    <t xml:space="preserve">R0506</t>
  </si>
  <si>
    <t xml:space="preserve">rabbet.com</t>
  </si>
  <si>
    <t xml:space="preserve">R0507</t>
  </si>
  <si>
    <t xml:space="preserve">rastim-legal.ru</t>
  </si>
  <si>
    <t xml:space="preserve">_iter5_sources_table.md:10; notes_iter5.md:145; Capexly_Research_Report_Iter5.md:542</t>
  </si>
  <si>
    <t xml:space="preserve">R0508</t>
  </si>
  <si>
    <t xml:space="preserve">rb.ru</t>
  </si>
  <si>
    <t xml:space="preserve">Capexly_Business_Plan_v1.md:543; Capexly_Research_Report.md:483; notes_iter4.md:165; _iter5_sources_table.md:12; notes_iter5.md:175</t>
  </si>
  <si>
    <t xml:space="preserve">R0509</t>
  </si>
  <si>
    <t xml:space="preserve">realty.rbc.ru</t>
  </si>
  <si>
    <t xml:space="preserve">Capexly_Research_Report_Iter3.md:372; _iter3_sources_table.md:9; notes_iter3.md:139</t>
  </si>
  <si>
    <t xml:space="preserve">R0510</t>
  </si>
  <si>
    <t xml:space="preserve">realty.ria.ru</t>
  </si>
  <si>
    <t xml:space="preserve">Capexly_Research_Report_Iter3.md:376; _iter3_sources_table.md:13; notes_iter3.md:204; notes_iter4.md:167; _iter4_sources_table.md:11</t>
  </si>
  <si>
    <t xml:space="preserve">R0511</t>
  </si>
  <si>
    <t xml:space="preserve">realty.yandex.ru</t>
  </si>
  <si>
    <t xml:space="preserve">notes_iter4.md:183; _iter4_sources_table.md:12; Capexly_Research_Report_Iter4.md:417</t>
  </si>
  <si>
    <t xml:space="preserve">R0512</t>
  </si>
  <si>
    <t xml:space="preserve">recess.arbitr.ru</t>
  </si>
  <si>
    <t xml:space="preserve">R0513</t>
  </si>
  <si>
    <t xml:space="preserve">reestr-sro.ru</t>
  </si>
  <si>
    <t xml:space="preserve">Capexly_Research_Report_Iter3.md:371; _iter3_sources_table.md:8; notes_iter3.md:105</t>
  </si>
  <si>
    <t xml:space="preserve">R0514</t>
  </si>
  <si>
    <t xml:space="preserve">reestr.digital.gov.ru</t>
  </si>
  <si>
    <t xml:space="preserve">_iter5_sources_table.md:10; notes_iter5.md:154; Capexly_Research_Report_Iter5.md:542</t>
  </si>
  <si>
    <t xml:space="preserve">R0515</t>
  </si>
  <si>
    <t xml:space="preserve">reestr.nostroy.ru</t>
  </si>
  <si>
    <t xml:space="preserve">_iter4_stack_table.md:15; Capexly_Research_Report_Iter3.md:174; Capexly_Research_Report_Iter3.md:331; Capexly_Research_Report_Iter3.md:371; _iter3_sources_table.md:8</t>
  </si>
  <si>
    <t xml:space="preserve">R0516</t>
  </si>
  <si>
    <t xml:space="preserve">refreshmiami.com</t>
  </si>
  <si>
    <t xml:space="preserve">R0517</t>
  </si>
  <si>
    <t xml:space="preserve">rengabim.com</t>
  </si>
  <si>
    <t xml:space="preserve">Capexly_Research_Report_Iter2.md:319; notes_iter2.md:18; _iter2_sources_table.md:4</t>
  </si>
  <si>
    <t xml:space="preserve">R0518</t>
  </si>
  <si>
    <t xml:space="preserve">resize-web.ru</t>
  </si>
  <si>
    <t xml:space="preserve">notes_iter4.md:107; _iter4_sources_table.md:8; Capexly_Research_Report_Iter4.md:413</t>
  </si>
  <si>
    <t xml:space="preserve">R0519</t>
  </si>
  <si>
    <t xml:space="preserve">resolventagroup.ru</t>
  </si>
  <si>
    <t xml:space="preserve">_iter5_sources_table.md:11; notes_iter5.md:166; Capexly_Research_Report_Iter5.md:543</t>
  </si>
  <si>
    <t xml:space="preserve">R0520</t>
  </si>
  <si>
    <t xml:space="preserve">restate.ru</t>
  </si>
  <si>
    <t xml:space="preserve">notes_iter4.md:62; _iter4_sources_table.md:6; Capexly_Research_Report_Iter4.md:411</t>
  </si>
  <si>
    <t xml:space="preserve">R0521</t>
  </si>
  <si>
    <t xml:space="preserve">rg.ru</t>
  </si>
  <si>
    <t xml:space="preserve">Capexly_Research_Report_Iter3.md:371; _iter3_sources_table.md:8; notes_iter3.md:107; _iter5_sources_table.md:10; notes_iter5.md:159</t>
  </si>
  <si>
    <t xml:space="preserve">R0522</t>
  </si>
  <si>
    <t xml:space="preserve">rkc56.ru</t>
  </si>
  <si>
    <t xml:space="preserve">notes_iter4.md:89; _iter4_sources_table.md:7; Capexly_Research_Report_Iter4.md:412</t>
  </si>
  <si>
    <t xml:space="preserve">R0523</t>
  </si>
  <si>
    <t xml:space="preserve">rkit.ru</t>
  </si>
  <si>
    <t xml:space="preserve">_iter5_sources_table.md:14; notes_iter5.md:194; Capexly_Research_Report_Iter5.md:546</t>
  </si>
  <si>
    <t xml:space="preserve">R0524</t>
  </si>
  <si>
    <t xml:space="preserve">rnk.ru</t>
  </si>
  <si>
    <t xml:space="preserve">R0525</t>
  </si>
  <si>
    <t xml:space="preserve">ros-spravka.ru</t>
  </si>
  <si>
    <t xml:space="preserve">R0526</t>
  </si>
  <si>
    <t xml:space="preserve">roskapstroy.ru</t>
  </si>
  <si>
    <t xml:space="preserve">R0527</t>
  </si>
  <si>
    <t xml:space="preserve">rostransnadzor.gov.ru</t>
  </si>
  <si>
    <t xml:space="preserve">_iter5_sources_table.md:9; notes_iter5.md:138; Capexly_Research_Report_Iter5.md:33; Capexly_Research_Report_Iter5.md:541</t>
  </si>
  <si>
    <t xml:space="preserve">R0528</t>
  </si>
  <si>
    <t xml:space="preserve">rsexpertiza.ru</t>
  </si>
  <si>
    <t xml:space="preserve">R0529</t>
  </si>
  <si>
    <t xml:space="preserve">rsn-expo.ru</t>
  </si>
  <si>
    <t xml:space="preserve">_iter5_sources_table.md:13; notes_iter5.md:187; Capexly_Research_Report_Iter5.md:545</t>
  </si>
  <si>
    <t xml:space="preserve">R0530</t>
  </si>
  <si>
    <t xml:space="preserve">ru-bezh.ru</t>
  </si>
  <si>
    <t xml:space="preserve">Capexly_Research_Report_Iter3.md:375; _iter3_sources_table.md:12; notes_iter3.md:184</t>
  </si>
  <si>
    <t xml:space="preserve">R0531</t>
  </si>
  <si>
    <t xml:space="preserve">rus-data.ru</t>
  </si>
  <si>
    <t xml:space="preserve">notes_iter4.md:83; _iter4_sources_table.md:7; Capexly_Research_Report_Iter4.md:412</t>
  </si>
  <si>
    <t xml:space="preserve">R0532</t>
  </si>
  <si>
    <t xml:space="preserve">saas.saitcraft.ru</t>
  </si>
  <si>
    <t xml:space="preserve">_iter5_sources_table.md:7; notes_iter5.md:98; Capexly_Research_Report_Iter5.md:539</t>
  </si>
  <si>
    <t xml:space="preserve">R0533</t>
  </si>
  <si>
    <t xml:space="preserve">saby.ru</t>
  </si>
  <si>
    <t xml:space="preserve">Capexly_Research_Report_Iter2.md:320; Capexly_Research_Report_Iter3.md:375; _iter3_sources_table.md:12; notes_iter2.md:31; _iter2_sources_table.md:5</t>
  </si>
  <si>
    <t xml:space="preserve">R0534</t>
  </si>
  <si>
    <t xml:space="preserve">safeprogress.ru</t>
  </si>
  <si>
    <t xml:space="preserve">_iter5_sources_table.md:10; notes_iter5.md:146; Capexly_Research_Report_Iter5.md:542</t>
  </si>
  <si>
    <t xml:space="preserve">R0535</t>
  </si>
  <si>
    <t xml:space="preserve">sanynw.ru</t>
  </si>
  <si>
    <t xml:space="preserve">R0536</t>
  </si>
  <si>
    <t xml:space="preserve">sarrztech.ru</t>
  </si>
  <si>
    <t xml:space="preserve">Capexly_Research_Report_Iter3.md:373; _iter3_sources_table.md:10; notes_iter3.md:157</t>
  </si>
  <si>
    <t xml:space="preserve">R0537</t>
  </si>
  <si>
    <t xml:space="preserve">savecons.ru</t>
  </si>
  <si>
    <t xml:space="preserve">_iter5_sources_table.md:10; notes_iter5.md:155; Capexly_Research_Report_Iter5.md:542</t>
  </si>
  <si>
    <t xml:space="preserve">R0538</t>
  </si>
  <si>
    <t xml:space="preserve">schnitgercorp.com</t>
  </si>
  <si>
    <t xml:space="preserve">_iter5_sources_table.md:4; notes_iter5.md:44; Capexly_Research_Report_Iter5.md:536</t>
  </si>
  <si>
    <t xml:space="preserve">R0539</t>
  </si>
  <si>
    <t xml:space="preserve">secrets.tbank.ru</t>
  </si>
  <si>
    <t xml:space="preserve">R0540</t>
  </si>
  <si>
    <t xml:space="preserve">securegpt.ru</t>
  </si>
  <si>
    <t xml:space="preserve">Capexly_Research_Report_Iter3.md:368; _iter3_sources_table.md:5; notes_iter3.md:48</t>
  </si>
  <si>
    <t xml:space="preserve">R0541</t>
  </si>
  <si>
    <t xml:space="preserve">selectel.ru</t>
  </si>
  <si>
    <t xml:space="preserve">notes_iter4.md:188; _iter4_sources_table.md:12; Capexly_Research_Report_Iter4.md:417</t>
  </si>
  <si>
    <t xml:space="preserve">R0542</t>
  </si>
  <si>
    <t xml:space="preserve">serversales.ru</t>
  </si>
  <si>
    <t xml:space="preserve">notes_iter4.md:189; _iter4_sources_table.md:12; Capexly_Research_Report_Iter4.md:417</t>
  </si>
  <si>
    <t xml:space="preserve">R0543</t>
  </si>
  <si>
    <t xml:space="preserve">simplysmeta.ru</t>
  </si>
  <si>
    <t xml:space="preserve">R0544</t>
  </si>
  <si>
    <t xml:space="preserve">siteline.com</t>
  </si>
  <si>
    <t xml:space="preserve">Capexly_Research_Report_Iter2.md:325; notes_iter2.md:74; _iter2_sources_table.md:10; _iter5_sources_table.md:3; notes_iter5.md:10</t>
  </si>
  <si>
    <t xml:space="preserve">R0545</t>
  </si>
  <si>
    <t xml:space="preserve">skb-techno.ru</t>
  </si>
  <si>
    <t xml:space="preserve">_iter5_sources_table.md:10; notes_iter5.md:150; Capexly_Research_Report_Iter5.md:426; Capexly_Research_Report_Iter5.md:542</t>
  </si>
  <si>
    <t xml:space="preserve">R0546</t>
  </si>
  <si>
    <t xml:space="preserve">skolkovo.vnesenie-v-reestr.ru</t>
  </si>
  <si>
    <t xml:space="preserve">Capexly_Research_Report_Iter3.md:372; _iter3_sources_table.md:9; notes_iter3.md:134</t>
  </si>
  <si>
    <t xml:space="preserve">R0547</t>
  </si>
  <si>
    <t xml:space="preserve">sky.pro</t>
  </si>
  <si>
    <t xml:space="preserve">notes_iter4.md:91; _iter4_sources_table.md:7; Capexly_Research_Report_Iter4.md:412</t>
  </si>
  <si>
    <t xml:space="preserve">R0548</t>
  </si>
  <si>
    <t xml:space="preserve">smartcontech.ru</t>
  </si>
  <si>
    <t xml:space="preserve">R0549</t>
  </si>
  <si>
    <t xml:space="preserve">smeta-na.ru</t>
  </si>
  <si>
    <t xml:space="preserve">R0550</t>
  </si>
  <si>
    <t xml:space="preserve">smeta.ai</t>
  </si>
  <si>
    <t xml:space="preserve">Capexly_Research_Report_Iter2.md:319; notes_iter2.md:23; _iter2_sources_table.md:4; Capexly_Research_Report.md:138; Capexly_Research_Report.md:214</t>
  </si>
  <si>
    <t xml:space="preserve">R0551</t>
  </si>
  <si>
    <t xml:space="preserve">smeta.ru</t>
  </si>
  <si>
    <t xml:space="preserve">_iter6_stress_table.md:7; Capexly_Research_Report_Iter6_CrossCheck.md:232; Capexly_Research_Report_Iter6_CrossCheck.md:256; Capexly_Research_Report_Iter6_CrossCheck.md:301; Capexly_Research_Report.md:138</t>
  </si>
  <si>
    <t xml:space="preserve">R0552</t>
  </si>
  <si>
    <t xml:space="preserve">smolensk-sro.ru</t>
  </si>
  <si>
    <t xml:space="preserve">R0553</t>
  </si>
  <si>
    <t xml:space="preserve">smway.ru</t>
  </si>
  <si>
    <t xml:space="preserve">Capexly_Research_Report_Iter2.md:323; notes_iter2.md:53; _iter2_sources_table.md:8</t>
  </si>
  <si>
    <t xml:space="preserve">R0554</t>
  </si>
  <si>
    <t xml:space="preserve">sodstr.ru</t>
  </si>
  <si>
    <t xml:space="preserve">_iter5_sources_table.md:13; notes_iter5.md:181; Capexly_Research_Report_Iter5.md:545</t>
  </si>
  <si>
    <t xml:space="preserve">R0555</t>
  </si>
  <si>
    <t xml:space="preserve">soware.ru</t>
  </si>
  <si>
    <t xml:space="preserve">_iter5_sources_table.md:7; notes_iter5.md:101; Capexly_Research_Report_Iter5.md:539</t>
  </si>
  <si>
    <t xml:space="preserve">R0556</t>
  </si>
  <si>
    <t xml:space="preserve">soyt.ru</t>
  </si>
  <si>
    <t xml:space="preserve">Capexly_Research_Report_Iter3.md:370; _iter3_sources_table.md:7; notes_iter3.md:94</t>
  </si>
  <si>
    <t xml:space="preserve">R0557</t>
  </si>
  <si>
    <t xml:space="preserve">sro-a.ru</t>
  </si>
  <si>
    <t xml:space="preserve">notes_iter4.md:176; _iter4_voice_table.md:17; _iter4_sources_table.md:12; Capexly_Research_Report_Iter4.md:66; Capexly_Research_Report_Iter4.md:417</t>
  </si>
  <si>
    <t xml:space="preserve">R0558</t>
  </si>
  <si>
    <t xml:space="preserve">sro-licence.ru</t>
  </si>
  <si>
    <t xml:space="preserve">R0559</t>
  </si>
  <si>
    <t xml:space="preserve">sro26.ru</t>
  </si>
  <si>
    <t xml:space="preserve">Capexly_Research_Report_Iter3.md:371; _iter3_sources_table.md:8; notes_iter3.md:109; notes_iter4.md:158; _iter4_sources_table.md:11</t>
  </si>
  <si>
    <t xml:space="preserve">R0560</t>
  </si>
  <si>
    <t xml:space="preserve">srolevon.ru</t>
  </si>
  <si>
    <t xml:space="preserve">_iter5_sources_table.md:9; notes_iter5.md:140; Capexly_Research_Report_Iter5.md:541</t>
  </si>
  <si>
    <t xml:space="preserve">R0561</t>
  </si>
  <si>
    <t xml:space="preserve">srotula.ru</t>
  </si>
  <si>
    <t xml:space="preserve">R0562</t>
  </si>
  <si>
    <t xml:space="preserve">standards.ru</t>
  </si>
  <si>
    <t xml:space="preserve">notes_iter4.md:46; notes_iter4.md:47; _iter4_sources_table.md:5; Capexly_Research_Report_Iter4.md:410</t>
  </si>
  <si>
    <t xml:space="preserve">R0563</t>
  </si>
  <si>
    <t xml:space="preserve">startup.mts.ru</t>
  </si>
  <si>
    <t xml:space="preserve">_iter5_sources_table.md:12; notes_iter5.md:174; Capexly_Research_Report_Iter5.md:33; Capexly_Research_Report_Iter5.md:544</t>
  </si>
  <si>
    <t xml:space="preserve">R0564</t>
  </si>
  <si>
    <t xml:space="preserve">startuphub.ai</t>
  </si>
  <si>
    <t xml:space="preserve">_iter5_sources_table.md:4; notes_iter5.md:35; Capexly_Research_Report_Iter5.md:536</t>
  </si>
  <si>
    <t xml:space="preserve">R0565</t>
  </si>
  <si>
    <t xml:space="preserve">startupintros.com</t>
  </si>
  <si>
    <t xml:space="preserve">_iter5_sources_table.md:3; notes_iter5.md:19; Capexly_Research_Report_Iter5.md:535</t>
  </si>
  <si>
    <t xml:space="preserve">R0566</t>
  </si>
  <si>
    <t xml:space="preserve">stavtrack.ru</t>
  </si>
  <si>
    <t xml:space="preserve">R0567</t>
  </si>
  <si>
    <t xml:space="preserve">stgkrf.ru</t>
  </si>
  <si>
    <t xml:space="preserve">_iter5_sources_table.md:8; notes_iter5.md:117; Capexly_Research_Report_Iter5.md:540</t>
  </si>
  <si>
    <t xml:space="preserve">R0568</t>
  </si>
  <si>
    <t xml:space="preserve">strategy.ru</t>
  </si>
  <si>
    <t xml:space="preserve">Capexly_Research_Report_Iter2.md:322; Capexly_Research_Report_Iter3.md:376; _iter3_sources_table.md:13; notes_iter2.md:44; _iter2_sources_table.md:7</t>
  </si>
  <si>
    <t xml:space="preserve">R0569</t>
  </si>
  <si>
    <t xml:space="preserve">stroimprosto.mos.ru</t>
  </si>
  <si>
    <t xml:space="preserve">R0570</t>
  </si>
  <si>
    <t xml:space="preserve">stroy-mosreg.ru</t>
  </si>
  <si>
    <t xml:space="preserve">Capexly_Research_Report_Iter2.md:62; Capexly_Research_Report_Iter2.md:318; notes_iter2.md:10; _iter2_sources_table.md:3</t>
  </si>
  <si>
    <t xml:space="preserve">R0571</t>
  </si>
  <si>
    <t xml:space="preserve">stroydoc-abv.ru</t>
  </si>
  <si>
    <t xml:space="preserve">Capexly_Research_Report_Iter3.md:370; _iter3_sources_table.md:7; notes_iter3.md:84; notes_iter3.md:91; notes_iter4.md:28</t>
  </si>
  <si>
    <t xml:space="preserve">R0572</t>
  </si>
  <si>
    <t xml:space="preserve">stroygaz.ru</t>
  </si>
  <si>
    <t xml:space="preserve">Capexly_Research_Report_Iter2.md:319; notes_iter2.md:21; _iter2_sources_table.md:4; notes_iter4.md:170; _iter4_sources_table.md:11</t>
  </si>
  <si>
    <t xml:space="preserve">R0573</t>
  </si>
  <si>
    <t xml:space="preserve">stroyka-ms.ru</t>
  </si>
  <si>
    <t xml:space="preserve">Capexly_Research_Report_Iter3.md:371; _iter3_sources_table.md:8; notes_iter3.md:103</t>
  </si>
  <si>
    <t xml:space="preserve">R0574</t>
  </si>
  <si>
    <t xml:space="preserve">stroykalife.ru</t>
  </si>
  <si>
    <t xml:space="preserve">notes_iter4.md:77; _iter4_sources_table.md:7; Capexly_Research_Report_Iter4.md:412</t>
  </si>
  <si>
    <t xml:space="preserve">R0575</t>
  </si>
  <si>
    <t xml:space="preserve">studopediaru.com</t>
  </si>
  <si>
    <t xml:space="preserve">Capexly_Research_Report_Iter3.md:369; _iter3_sources_table.md:6; notes_iter3.md:72</t>
  </si>
  <si>
    <t xml:space="preserve">R0576</t>
  </si>
  <si>
    <t xml:space="preserve">study24.ai</t>
  </si>
  <si>
    <t xml:space="preserve">R0577</t>
  </si>
  <si>
    <t xml:space="preserve">sudact.ru</t>
  </si>
  <si>
    <t xml:space="preserve">notes_iter4.md:88; _iter5_sources_table.md:9; _iter4_voice_table.md:8; notes_iter5.md:134; _iter4_sources_table.md:7</t>
  </si>
  <si>
    <t xml:space="preserve">R0578</t>
  </si>
  <si>
    <t xml:space="preserve">superconstruct.io</t>
  </si>
  <si>
    <t xml:space="preserve">_iter5_sources_table.md:3; notes_iter5.md:17; Capexly_Research_Report_Iter5.md:535</t>
  </si>
  <si>
    <t xml:space="preserve">R0579</t>
  </si>
  <si>
    <t xml:space="preserve">talionexpertiza.ru</t>
  </si>
  <si>
    <t xml:space="preserve">R0580</t>
  </si>
  <si>
    <t xml:space="preserve">tbank.ru</t>
  </si>
  <si>
    <t xml:space="preserve">R0581</t>
  </si>
  <si>
    <t xml:space="preserve">team-b.ru</t>
  </si>
  <si>
    <t xml:space="preserve">Capexly_Research_Report_Iter3.md:371; _iter3_sources_table.md:8; notes_iter3.md:120</t>
  </si>
  <si>
    <t xml:space="preserve">R0582</t>
  </si>
  <si>
    <t xml:space="preserve">techcrunch.com</t>
  </si>
  <si>
    <t xml:space="preserve">_iter5_sources_table.md:5; notes_iter5.md:60; Capexly_Research_Report_Iter5.md:537</t>
  </si>
  <si>
    <t xml:space="preserve">R0583</t>
  </si>
  <si>
    <t xml:space="preserve">technadzor77.ru</t>
  </si>
  <si>
    <t xml:space="preserve">R0584</t>
  </si>
  <si>
    <t xml:space="preserve">technogrunt.ru</t>
  </si>
  <si>
    <t xml:space="preserve">Capexly_Research_Report_Iter3.md:374; _iter3_sources_table.md:11; notes_iter3.md:171</t>
  </si>
  <si>
    <t xml:space="preserve">R0585</t>
  </si>
  <si>
    <t xml:space="preserve">tehzor.com</t>
  </si>
  <si>
    <t xml:space="preserve">Capexly_Research_Report_Iter6_CrossCheck.md:419; _iter6_sources_table.md:5; notes_iter6_cross.md:43</t>
  </si>
  <si>
    <t xml:space="preserve">R0586</t>
  </si>
  <si>
    <t xml:space="preserve">tenchat.ru</t>
  </si>
  <si>
    <t xml:space="preserve">R0587</t>
  </si>
  <si>
    <t xml:space="preserve">tender-rus.ru</t>
  </si>
  <si>
    <t xml:space="preserve">R0588</t>
  </si>
  <si>
    <t xml:space="preserve">tensor.ru</t>
  </si>
  <si>
    <t xml:space="preserve">R0589</t>
  </si>
  <si>
    <t xml:space="preserve">teoc.ru</t>
  </si>
  <si>
    <t xml:space="preserve">R0590</t>
  </si>
  <si>
    <t xml:space="preserve">tgstat.ru</t>
  </si>
  <si>
    <t xml:space="preserve">notes_iter4.md:203; _iter4_sources_table.md:13; Capexly_Research_Report_Iter4.md:418</t>
  </si>
  <si>
    <t xml:space="preserve">R0591</t>
  </si>
  <si>
    <t xml:space="preserve">tk-servis.ru</t>
  </si>
  <si>
    <t xml:space="preserve">Capexly_Research_Report_Iter3.md:373; _iter3_sources_table.md:10; notes_iter3.md:144; notes_iter4.md:89; _iter4_sources_table.md:7</t>
  </si>
  <si>
    <t xml:space="preserve">R0592</t>
  </si>
  <si>
    <t xml:space="preserve">tmljp.ru</t>
  </si>
  <si>
    <t xml:space="preserve">R0593</t>
  </si>
  <si>
    <t xml:space="preserve">togal.ai</t>
  </si>
  <si>
    <t xml:space="preserve">Capexly_Research_Report.md:179; Capexly_Research_Report.md:590; notes_sources.md:40</t>
  </si>
  <si>
    <t xml:space="preserve">R0594</t>
  </si>
  <si>
    <t xml:space="preserve">toolfox.ru</t>
  </si>
  <si>
    <t xml:space="preserve">Capexly_Research_Report_Iter3.md:375; _iter3_sources_table.md:12; notes_iter3.md:198; notes_iter4.md:108; notes_iter4.md:110</t>
  </si>
  <si>
    <t xml:space="preserve">R0595</t>
  </si>
  <si>
    <t xml:space="preserve">top-bankrotstvo.ru</t>
  </si>
  <si>
    <t xml:space="preserve">Capexly_Research_Report_Iter3.md:366; _iter3_sources_table.md:3; notes_iter3.md:8</t>
  </si>
  <si>
    <t xml:space="preserve">R0596</t>
  </si>
  <si>
    <t xml:space="preserve">torgi.center-inform.ru</t>
  </si>
  <si>
    <t xml:space="preserve">R0597</t>
  </si>
  <si>
    <t xml:space="preserve">tracxn.com</t>
  </si>
  <si>
    <t xml:space="preserve">_iter5_sources_table.md:4; notes_iter5.md:38; Capexly_Research_Report_Iter5.md:33; Capexly_Research_Report_Iter5.md:536</t>
  </si>
  <si>
    <t xml:space="preserve">R0598</t>
  </si>
  <si>
    <t xml:space="preserve">trialliance.ru</t>
  </si>
  <si>
    <t xml:space="preserve">Capexly_Research_Report_Iter3.md:375; _iter3_sources_table.md:12; notes_iter3.md:188</t>
  </si>
  <si>
    <t xml:space="preserve">R0599</t>
  </si>
  <si>
    <t xml:space="preserve">trudohrana.ru</t>
  </si>
  <si>
    <t xml:space="preserve">Capexly_Research_Report_Iter3.md:376; _iter3_sources_table.md:13; notes_iter3.md:210</t>
  </si>
  <si>
    <t xml:space="preserve">R0600</t>
  </si>
  <si>
    <t xml:space="preserve">tvoepravo.com</t>
  </si>
  <si>
    <t xml:space="preserve">_iter4_spec_table.md:10; notes_iter4.md:143; _iter4_sources_table.md:10; Capexly_Research_Report_Iter4.md:151; Capexly_Research_Report_Iter4.md:415</t>
  </si>
  <si>
    <t xml:space="preserve">R0601</t>
  </si>
  <si>
    <t xml:space="preserve">tyumsoft.ru</t>
  </si>
  <si>
    <t xml:space="preserve">R0602</t>
  </si>
  <si>
    <t xml:space="preserve">uchi.pro</t>
  </si>
  <si>
    <t xml:space="preserve">Capexly_Research_Report_Iter3.md:366; _iter3_sources_table.md:3; notes_iter3.md:19</t>
  </si>
  <si>
    <t xml:space="preserve">R0603</t>
  </si>
  <si>
    <t xml:space="preserve">ugt-holding.ru</t>
  </si>
  <si>
    <t xml:space="preserve">Capexly_Research_Report_Iter3.md:369; _iter3_sources_table.md:6; notes_iter3.md:73</t>
  </si>
  <si>
    <t xml:space="preserve">R0604</t>
  </si>
  <si>
    <t xml:space="preserve">umnico.com</t>
  </si>
  <si>
    <t xml:space="preserve">notes_iter4.md:181; _iter4_sources_table.md:12; Capexly_Research_Report_Iter4.md:417</t>
  </si>
  <si>
    <t xml:space="preserve">R0605</t>
  </si>
  <si>
    <t xml:space="preserve">umniykontur.ru</t>
  </si>
  <si>
    <t xml:space="preserve">Capexly_Research_Report_Iter3.md:375; _iter3_sources_table.md:12; Capexly_Research_Report_Iter6_CrossCheck.md:419; _iter6_sources_table.md:5; notes_iter3.md:192</t>
  </si>
  <si>
    <t xml:space="preserve">R0606</t>
  </si>
  <si>
    <t xml:space="preserve">unicornroad.ru</t>
  </si>
  <si>
    <t xml:space="preserve">Capexly_Research_Report_Iter3.md:372; _iter3_sources_table.md:9; notes_iter3.md:124; _iter5_sources_table.md:11; notes_iter5.md:170</t>
  </si>
  <si>
    <t xml:space="preserve">R0607</t>
  </si>
  <si>
    <t xml:space="preserve">uniseller.io</t>
  </si>
  <si>
    <t xml:space="preserve">Capexly_Research_Report_Iter3.md:371; _iter3_sources_table.md:8; notes_iter3.md:116</t>
  </si>
  <si>
    <t xml:space="preserve">R0608</t>
  </si>
  <si>
    <t xml:space="preserve">upr-proektom.ru</t>
  </si>
  <si>
    <t xml:space="preserve">R0609</t>
  </si>
  <si>
    <t xml:space="preserve">urservices.ru</t>
  </si>
  <si>
    <t xml:space="preserve">R0610</t>
  </si>
  <si>
    <t xml:space="preserve">us-plast.ru</t>
  </si>
  <si>
    <t xml:space="preserve">R0611</t>
  </si>
  <si>
    <t xml:space="preserve">vaiti.io</t>
  </si>
  <si>
    <t xml:space="preserve">_iter4_comp_table.md:6; notes_iter4.md:29; _iter4_sources_table.md:4; Capexly_Research_Report_Iter4.md:106; Capexly_Research_Report_Iter4.md:409</t>
  </si>
  <si>
    <t xml:space="preserve">R0612</t>
  </si>
  <si>
    <t xml:space="preserve">vectorshift.ai</t>
  </si>
  <si>
    <t xml:space="preserve">_iter5_sources_table.md:3; _iter5_sources_table.md:6; notes_iter5.md:7; notes_iter5.md:71; Capexly_Research_Report_Iter5.md:535</t>
  </si>
  <si>
    <t xml:space="preserve">R0613</t>
  </si>
  <si>
    <t xml:space="preserve">vedomosti.ru</t>
  </si>
  <si>
    <t xml:space="preserve">Capexly_Research_Report_Iter2.md:320; Capexly_Research_Report_Iter6_CrossCheck.md:418; Capexly_Research_Report_Iter6_CrossCheck.md:420; notes_iter2.md:28; _iter6_sources_table.md:4</t>
  </si>
  <si>
    <t xml:space="preserve">R0614</t>
  </si>
  <si>
    <t xml:space="preserve">vestnikstroy.ru</t>
  </si>
  <si>
    <t xml:space="preserve">Capexly_Research_Report_Iter2.md:319; notes_iter2.md:19; _iter2_sources_table.md:4</t>
  </si>
  <si>
    <t xml:space="preserve">R0615</t>
  </si>
  <si>
    <t xml:space="preserve">vk.ru</t>
  </si>
  <si>
    <t xml:space="preserve">R0616</t>
  </si>
  <si>
    <t xml:space="preserve">vkirove.ru</t>
  </si>
  <si>
    <t xml:space="preserve">R0617</t>
  </si>
  <si>
    <t xml:space="preserve">vkons.ru</t>
  </si>
  <si>
    <t xml:space="preserve">_iter5_sources_table.md:14; notes_iter5.md:191; Capexly_Research_Report_Iter5.md:546</t>
  </si>
  <si>
    <t xml:space="preserve">R0618</t>
  </si>
  <si>
    <t xml:space="preserve">vnesenie-v-reestr.ru</t>
  </si>
  <si>
    <t xml:space="preserve">Capexly_Research_Report_Iter2.md:321; Capexly_Research_Report_Iter3.md:372; _iter3_sources_table.md:9; notes_iter2.md:37; _iter2_sources_table.md:6</t>
  </si>
  <si>
    <t xml:space="preserve">R0619</t>
  </si>
  <si>
    <t xml:space="preserve">voenmeh.ru</t>
  </si>
  <si>
    <t xml:space="preserve">Capexly_Research_Report_Iter3.md:372; _iter3_sources_table.md:9; notes_iter3.md:124</t>
  </si>
  <si>
    <t xml:space="preserve">R0620</t>
  </si>
  <si>
    <t xml:space="preserve">web-hh.com</t>
  </si>
  <si>
    <t xml:space="preserve">_iter5_sources_table.md:11; notes_iter5.md:164; Capexly_Research_Report_Iter5.md:543</t>
  </si>
  <si>
    <t xml:space="preserve">R0621</t>
  </si>
  <si>
    <t xml:space="preserve">works.doklad.ru</t>
  </si>
  <si>
    <t xml:space="preserve">R0622</t>
  </si>
  <si>
    <t xml:space="preserve">workspace.ru</t>
  </si>
  <si>
    <t xml:space="preserve">Capexly_Research_Report_Iter3.md:371; _iter3_sources_table.md:8; notes_iter3.md:118</t>
  </si>
  <si>
    <t xml:space="preserve">R0623</t>
  </si>
  <si>
    <t xml:space="preserve">xstudio.pro</t>
  </si>
  <si>
    <t xml:space="preserve">_iter5_sources_table.md:11; notes_iter5.md:165; Capexly_Research_Report_Iter5.md:543</t>
  </si>
  <si>
    <t xml:space="preserve">R0624</t>
  </si>
  <si>
    <t xml:space="preserve">ycombinator.com</t>
  </si>
  <si>
    <t xml:space="preserve">Capexly_Research_Report_Iter2.md:325; notes_iter2.md:71; _iter2_sources_table.md:10</t>
  </si>
  <si>
    <t xml:space="preserve">R0625</t>
  </si>
  <si>
    <t xml:space="preserve">yespress.io</t>
  </si>
  <si>
    <t xml:space="preserve">_iter5_sources_table.md:3; _iter5_sources_table.md:4; notes_iter5.md:11; notes_iter5.md:40; Capexly_Research_Report_Iter5.md:535</t>
  </si>
  <si>
    <t xml:space="preserve">R0626</t>
  </si>
  <si>
    <t xml:space="preserve">ynetnews.com</t>
  </si>
  <si>
    <t xml:space="preserve">R0627</t>
  </si>
  <si>
    <t xml:space="preserve">you-right.ru</t>
  </si>
  <si>
    <t xml:space="preserve">Capexly_Research_Report_Iter3.md:366; _iter3_sources_table.md:3; notes_iter3.md:11; notes_iter4.md:33; _iter4_sources_table.md:4</t>
  </si>
  <si>
    <t xml:space="preserve">R0628</t>
  </si>
  <si>
    <t xml:space="preserve">youtube.com</t>
  </si>
  <si>
    <t xml:space="preserve">R0629</t>
  </si>
  <si>
    <t xml:space="preserve">zakupki.gov.ru</t>
  </si>
  <si>
    <t xml:space="preserve">Capexly_Research_Report.md:393; Capexly_Research_Report.md:607</t>
  </si>
  <si>
    <t xml:space="preserve">R0630</t>
  </si>
  <si>
    <t xml:space="preserve">zakupki.kontur.ru</t>
  </si>
  <si>
    <t xml:space="preserve">R0631</t>
  </si>
  <si>
    <t xml:space="preserve">zarlaw.ru</t>
  </si>
  <si>
    <t xml:space="preserve">_iter5_sources_table.md:10; notes_iter5.md:157; Capexly_Research_Report_Iter5.md:542</t>
  </si>
  <si>
    <t xml:space="preserve">R0632</t>
  </si>
  <si>
    <t xml:space="preserve">zdnet.com</t>
  </si>
  <si>
    <t xml:space="preserve">R0633</t>
  </si>
  <si>
    <t xml:space="preserve">zullus.ru</t>
  </si>
  <si>
    <t xml:space="preserve">R0634</t>
  </si>
  <si>
    <t xml:space="preserve">https://www.garant.ru/ia/opinion/author/novickaya-marina/2184668/</t>
  </si>
  <si>
    <t xml:space="preserve">Открытая правовая аналитика</t>
  </si>
  <si>
    <t xml:space="preserve">Проверка 14.10.2026: 243-ФЗ и маркировка</t>
  </si>
  <si>
    <t xml:space="preserve">Прочитано; не заменяет первичный текст НПА</t>
  </si>
  <si>
    <t xml:space="preserve">R0635</t>
  </si>
  <si>
    <t xml:space="preserve">https://ipsro.ru/news/novosti-zakonodatelstva/federalnyy-zakon-rossiyskoy-federatsii-ot-31-07-2025-309-fz-o-vnesenii-izmeneniy-v-gradostroitelnyy-</t>
  </si>
  <si>
    <t xml:space="preserve">Разъяснение СРО</t>
  </si>
  <si>
    <t xml:space="preserve">Срок уведомления, приказ 655/пр</t>
  </si>
  <si>
    <t xml:space="preserve">Прочитано; применимость к строительной СРО требует проверки</t>
  </si>
  <si>
    <t xml:space="preserve">R0636</t>
  </si>
  <si>
    <t xml:space="preserve">https://krasnodar.fas.gov.ru/publications/11003</t>
  </si>
  <si>
    <t xml:space="preserve">Официальное разъяснение УФАС</t>
  </si>
  <si>
    <t xml:space="preserve">Ст.18: предварительное согласие адресата</t>
  </si>
  <si>
    <t xml:space="preserve">Проверено поисковым извлечением, не полный текст</t>
  </si>
  <si>
    <t xml:space="preserve">R0637</t>
  </si>
  <si>
    <t xml:space="preserve">https://xasanskij-r25.gosweb.gosuslugi.ru/netcat_files/userfiles/2/Ekonomika/Msm_prezent.pdf</t>
  </si>
  <si>
    <t xml:space="preserve">Муниципальная публикация</t>
  </si>
  <si>
    <t xml:space="preserve">Маркировка: роль участника, товарные группы, дата 01.12.2026</t>
  </si>
  <si>
    <t xml:space="preserve">Поисковое извлечение; не первичный нормативный акт</t>
  </si>
  <si>
    <t xml:space="preserve">Зона / идея</t>
  </si>
  <si>
    <t xml:space="preserve">Причина из архива</t>
  </si>
  <si>
    <t xml:space="preserve">Сохранённое объяснение</t>
  </si>
  <si>
    <t xml:space="preserve">ИИ-сметчик / подбор расценок ФСНБ, разбор ЛСР</t>
  </si>
  <si>
    <t xml:space="preserve">Красный океан: Smeta.AI, ПростоСмета, Сметрикс, ЯСМЕТЧИК, kt-team + Гранд-Смета/Smeta.ru; 850+ решений в каталогах; сметные вендоры добавляют ИИ сами (их B9)</t>
  </si>
  <si>
    <t xml:space="preserve">Красная зона + решение пользователя</t>
  </si>
  <si>
    <t xml:space="preserve">Решение из v2, не независимая оценка</t>
  </si>
  <si>
    <t xml:space="preserve">Конъюнктурный анализ цен / КАЦ по 421/пр (N6)</t>
  </si>
  <si>
    <t xml:space="preserve">Сметный контур исключён пользователем; «очевидная» ниша, контроль со стороны экспертизы</t>
  </si>
  <si>
    <t xml:space="preserve">Решение пользователя</t>
  </si>
  <si>
    <t xml:space="preserve">Строительная CRM / учёт</t>
  </si>
  <si>
    <t xml:space="preserve">Gectaro, Stworka, 101-app, Расклад, Битрикс24, MacroCRM; высокая цена ошибки, долгое внедрение</t>
  </si>
  <si>
    <t xml:space="preserve">BIM-коллизии / «ИИ-BIM» (B6)</t>
  </si>
  <si>
    <t xml:space="preserve">Tangl, SIGNAL, Pilot-BIM; покупатель — проектировщик/крупный застройщик</t>
  </si>
  <si>
    <t xml:space="preserve">Красная зона</t>
  </si>
  <si>
    <t xml:space="preserve">Фотопрогресс / CV на площадке</t>
  </si>
  <si>
    <t xml:space="preserve">Aiterus, SIGNAL, S.Monitoring, SOLUT, PlanRadar/Buildots; капиталоёмко, enterprise-цикл</t>
  </si>
  <si>
    <t xml:space="preserve">Красная зона, не ИИ-текст</t>
  </si>
  <si>
    <t xml:space="preserve">Стройконтроль (замечания/чек-листы) со стороны заказчика</t>
  </si>
  <si>
    <t xml:space="preserve">Техзор (от 35 тыс.), Адепт, Exon, Pragmacore, TERRA360; оставили только сторону подрядчика (ответ на предписание, досье)</t>
  </si>
  <si>
    <t xml:space="preserve">Красная зона — взяли обратную сторону</t>
  </si>
  <si>
    <t xml:space="preserve">Платформа ИД / ИИ-проверка ИД по 344/пр, СП 48/70</t>
  </si>
  <si>
    <t xml:space="preserve">ПТО-ИИ от 49 900 ₽/мес, Exon 147–230 тыс./объект, ЦУС, АЛТИУС, BuildDocs; оставили «ИД-фабрику наследия» pay-per-doc и ЗОС-пречек согласованности</t>
  </si>
  <si>
    <t xml:space="preserve">Красная зона — взяли смежный угол</t>
  </si>
  <si>
    <t xml:space="preserve">Отдельный конвертер ИД в XML 344/пр (B10)</t>
  </si>
  <si>
    <t xml:space="preserve">XML1, DoXML, docxml.ru — коммодити; включён как функция ИД-фабрики</t>
  </si>
  <si>
    <t xml:space="preserve">Занято, функция</t>
  </si>
  <si>
    <t xml:space="preserve">Standalone сравнение версий чертежей (B11)</t>
  </si>
  <si>
    <t xml:space="preserve">Есть у Pilot-ICE и Exon; перенесено в ИЗМ-радар как «влияние изменений на срок и КС-2»</t>
  </si>
  <si>
    <t xml:space="preserve">Проверка договора подряда как отдельный продукт (N9)</t>
  </si>
  <si>
    <t xml:space="preserve">Контур.Фокус «ИИ-анализ договора» 6 900–9 900 ₽/год, ИскраБот бесплатно за 4 минуты; ниша «сломана» ценой; парсер договора оставлен как внутренний шаг</t>
  </si>
  <si>
    <t xml:space="preserve">Коммодити</t>
  </si>
  <si>
    <t xml:space="preserve">Helpdesk гарантийных обращений застройщика</t>
  </si>
  <si>
    <t xml:space="preserve">Базис «Гарантии», Техзор; оставили регресс к субподрядчику и ответ дольщику (документы, а не тикеты)</t>
  </si>
  <si>
    <t xml:space="preserve">Красная зона — взяли документную сторону</t>
  </si>
  <si>
    <t xml:space="preserve">Миграционный учёт / РКЛ / уведомления МВД (B1)</t>
  </si>
  <si>
    <t xml:space="preserve">HRonBoard, модуль 1С (от 148 тыс.), NewDB API, IDX; ИИ не нужен; данные — только через партнёрский API (внутри паспорта допуска)</t>
  </si>
  <si>
    <t xml:space="preserve">Занято, функция через партнёра</t>
  </si>
  <si>
    <t xml:space="preserve">Биометрия / СКУД / табель на площадке (B3)</t>
  </si>
  <si>
    <t xml:space="preserve">VisionLabs, Ovision; оборудование; регуляторно закреплено в Москве</t>
  </si>
  <si>
    <t xml:space="preserve">Железо, не SaaS</t>
  </si>
  <si>
    <t xml:space="preserve">Телематика техники и ГСМ (B4)</t>
  </si>
  <si>
    <t xml:space="preserve">Зрелый рынок телематики; ИИ не даёт преимущества</t>
  </si>
  <si>
    <t xml:space="preserve">Занято</t>
  </si>
  <si>
    <t xml:space="preserve">Фотоотчёты подрядчика ИЖС для раскрытия эскроу (B5)</t>
  </si>
  <si>
    <t xml:space="preserve">Банк ведёт собственную проверку; плательщик без бюджета; оставили документный пакет под регламент банка (S-48) с банком-партнёром</t>
  </si>
  <si>
    <t xml:space="preserve">Нет плательщика</t>
  </si>
  <si>
    <t xml:space="preserve">Интеграции с ГИСОГД/ИСУП как продукт (B7)</t>
  </si>
  <si>
    <t xml:space="preserve">Покупатель — государство; ИСУП интегрирована только с ЦУС/MStroy/Экзон (РосКапСтрой 28.01.2026), 11 вендоров в очереди → только через ВИС-партнёра</t>
  </si>
  <si>
    <t xml:space="preserve">Не SaaS; доступ через партнёра</t>
  </si>
  <si>
    <t xml:space="preserve">Чат-боты продаж / речевая аналитика застройщиков (B8)</t>
  </si>
  <si>
    <t xml:space="preserve">Насыщено общими вендорами; не строительная боль</t>
  </si>
  <si>
    <t xml:space="preserve">Передача эксплуатационной документации в УК (B12)</t>
  </si>
  <si>
    <t xml:space="preserve">Застройщик теряет интерес после ввода, УК не платит; суды единичны</t>
  </si>
  <si>
    <t xml:space="preserve">Пакет подтверждения затрат для банка при ПФ (B13)</t>
  </si>
  <si>
    <t xml:space="preserve">Банк контролирует сам; 3 запроса не дали измеримой боли</t>
  </si>
  <si>
    <t xml:space="preserve">Нет данных / банк</t>
  </si>
  <si>
    <t xml:space="preserve">Ассистент строительно-технической экспертизы (B14)</t>
  </si>
  <si>
    <t xml:space="preserve">Мало данных; покупатель — экспертные бюро; поиск по нормам — коммодити</t>
  </si>
  <si>
    <t xml:space="preserve">Мало данных</t>
  </si>
  <si>
    <t xml:space="preserve">«ИИ построит график» / клон Primavera (B15)</t>
  </si>
  <si>
    <t xml:space="preserve">Сетевое планирование детерминировано; Spider, GetGantt, PLAN-R; оставили только «ранний сигнал задержки» по срокам договора</t>
  </si>
  <si>
    <t xml:space="preserve">Занято, ИИ не главный</t>
  </si>
  <si>
    <t xml:space="preserve">Заявки на материалы из чатов → структурированная заявка (B16)</t>
  </si>
  <si>
    <t xml:space="preserve">Синтека (от 54 438 ₽/мес, нейросопоставление номенклатуры), ПУСК (от 12 000), qquote, Gectaro</t>
  </si>
  <si>
    <t xml:space="preserve">Материальный баланс М-29 как отдельный продукт (N7)</t>
  </si>
  <si>
    <t xml:space="preserve">Плательщик спорен; ЭДО/Синтека сопоставляют номенклатуру; 1С:УСО делает М-29 при полном вводе; оставлен в HOLD внутри ЧЗ-приёмки</t>
  </si>
  <si>
    <t xml:space="preserve">Плательщик не найден</t>
  </si>
  <si>
    <t xml:space="preserve">Дефектовка по фото → ведомость → смета (M9)</t>
  </si>
  <si>
    <t xml:space="preserve">CV-риск, узкий сегмент обследования, Техзор на стороне заказчика; низкая готовность платить отдельно</t>
  </si>
  <si>
    <t xml:space="preserve">HOLD: ИИ-зрение, не текст</t>
  </si>
  <si>
    <t xml:space="preserve">Многоязычный инструктор / ТК для бригад (M7)</t>
  </si>
  <si>
    <t xml:space="preserve">Свободная ниша, но платят мало и не отдельно; Олимпокс; в составе паспорта допуска позже</t>
  </si>
  <si>
    <t xml:space="preserve">HOLD: нет отдельного плательщика</t>
  </si>
  <si>
    <t xml:space="preserve">Авторский надзор (N18)</t>
  </si>
  <si>
    <t xml:space="preserve">Покупатель — проектировщик; ЦУС ведёт журнал АН; вне нашего клиента</t>
  </si>
  <si>
    <t xml:space="preserve">Чужой покупатель</t>
  </si>
  <si>
    <t xml:space="preserve">RAG по НТД как отдельный продукт («спроси ГОСТ»)</t>
  </si>
  <si>
    <t xml:space="preserve">ГОСТ Ассистент AI, «Цифровой стандарт», Normix.ai; коммодити; у нас — внутренний нормоконтроль ссылок</t>
  </si>
  <si>
    <t xml:space="preserve">Коммодити, функция</t>
  </si>
  <si>
    <t xml:space="preserve">Общий ИИ-поиск и анализ тендеров</t>
  </si>
  <si>
    <t xml:space="preserve">Нейро Тендер 2 990–3 990 ₽/мес, Sdelka, TenderAI, Zakupki Assistant; оставили только риск-профиль контракта (сроки/штрафы/ГУ/НДС)</t>
  </si>
  <si>
    <t xml:space="preserve">Красная зона — взяли узкий угол</t>
  </si>
  <si>
    <t xml:space="preserve">Снабжение / маркетплейсы материалов</t>
  </si>
  <si>
    <t xml:space="preserve">ПУСК, Cynteka, Supl.biz, ТопСтройка, BAZA; ценовой бенчмарк — только как данные</t>
  </si>
  <si>
    <t xml:space="preserve">Аренда ИИ-«юриста-чат-бота» общего назначения</t>
  </si>
  <si>
    <t xml:space="preserve">Общие legaltech-боты не знают форм СРО/ГП, сроков договора, адресов доставки и не несут доказательств; суды не компенсируют переписку (А40-308575/2023)</t>
  </si>
  <si>
    <t xml:space="preserve">Не решает задачу «документ = деньги»</t>
  </si>
  <si>
    <t xml:space="preserve">Принимать в кассу</t>
  </si>
  <si>
    <t xml:space="preserve">Следующее действие</t>
  </si>
  <si>
    <t xml:space="preserve">Ограничение</t>
  </si>
  <si>
    <t xml:space="preserve">Займ учредителя</t>
  </si>
  <si>
    <t xml:space="preserve">Только фактически внесённая сумма</t>
  </si>
  <si>
    <t xml:space="preserve">Подтвердить договор, остаток и расходы основателя</t>
  </si>
  <si>
    <t xml:space="preserve">В модели 150 тыс. — гипотеза из архива</t>
  </si>
  <si>
    <t xml:space="preserve">ФСИ / Сколково</t>
  </si>
  <si>
    <t xml:space="preserve">Ноль до договора и даты платежа</t>
  </si>
  <si>
    <t xml:space="preserve">Проверить действующий конкурс, допустимые статьи, права на результат</t>
  </si>
  <si>
    <t xml:space="preserve">Целевые средства не свободная операционная касса</t>
  </si>
  <si>
    <t xml:space="preserve">ФРИИ / seed</t>
  </si>
  <si>
    <t xml:space="preserve">Ноль до закрытия сделки</t>
  </si>
  <si>
    <t xml:space="preserve">Подготовить подтверждённые когорты, IP, бюджет и условия сделки</t>
  </si>
  <si>
    <t xml:space="preserve">Старые суммы и доли не term sheet</t>
  </si>
  <si>
    <t xml:space="preserve">Платный пилот</t>
  </si>
  <si>
    <t xml:space="preserve">После договора и согласно срокам оплаты</t>
  </si>
  <si>
    <t xml:space="preserve">Фиксировать scope, цену, приёмку, права и решение о продолжении</t>
  </si>
  <si>
    <t xml:space="preserve">Не дублировать с подпиской</t>
  </si>
  <si>
    <t xml:space="preserve">Данные, подпись, доставка</t>
  </si>
  <si>
    <t xml:space="preserve">Нужны действующие оферты и тест интеграций</t>
  </si>
  <si>
    <t xml:space="preserve">Стоимость включать отдельно или выставлять по факту</t>
  </si>
  <si>
    <t xml:space="preserve">В модели оплата доставки/подписи напрямую поставщику</t>
  </si>
  <si>
    <t xml:space="preserve">Файл оригинального архива</t>
  </si>
  <si>
    <t xml:space="preserve">Тип</t>
  </si>
  <si>
    <t xml:space="preserve">Решение</t>
  </si>
  <si>
    <t xml:space="preserve">Куда / почему</t>
  </si>
  <si>
    <t xml:space="preserve">Capexly_BusinessPlan_v1.xlsx</t>
  </si>
  <si>
    <t xml:space="preserve">Версионный документ</t>
  </si>
  <si>
    <t xml:space="preserve">Сведено / заменено</t>
  </si>
  <si>
    <t xml:space="preserve">Старые файлы остаются в оригинальном архиве; итоговая редакция F1 одна</t>
  </si>
  <si>
    <t xml:space="preserve">Capexly_Business_Plan_v1.docx</t>
  </si>
  <si>
    <t xml:space="preserve">Capexly_Business_Plan_v1.md</t>
  </si>
  <si>
    <t xml:space="preserve">Capexly_Business_Plan_v2.docx</t>
  </si>
  <si>
    <t xml:space="preserve">Capexly_Business_Plan_v2.md</t>
  </si>
  <si>
    <t xml:space="preserve">Capexly_CrossCheck_v6_iter6.xlsx</t>
  </si>
  <si>
    <t xml:space="preserve">Capexly_Research_Report.docx</t>
  </si>
  <si>
    <t xml:space="preserve">Capexly_Research_Report.md</t>
  </si>
  <si>
    <t xml:space="preserve">Capexly_Research_Report_Iter2.docx</t>
  </si>
  <si>
    <t xml:space="preserve">Capexly_Research_Report_Iter2.md</t>
  </si>
  <si>
    <t xml:space="preserve">Capexly_Research_Report_Iter3.docx</t>
  </si>
  <si>
    <t xml:space="preserve">Capexly_Research_Report_Iter3.md</t>
  </si>
  <si>
    <t xml:space="preserve">Capexly_Research_Report_Iter4.docx</t>
  </si>
  <si>
    <t xml:space="preserve">Capexly_Research_Report_Iter4.md</t>
  </si>
  <si>
    <t xml:space="preserve">Capexly_Research_Report_Iter5.docx</t>
  </si>
  <si>
    <t xml:space="preserve">Capexly_Research_Report_Iter5.md</t>
  </si>
  <si>
    <t xml:space="preserve">Capexly_Research_Report_Iter6_CrossCheck.docx</t>
  </si>
  <si>
    <t xml:space="preserve">Capexly_Research_Report_Iter6_CrossCheck.md</t>
  </si>
  <si>
    <t xml:space="preserve">Capexly_Scoring_120_factors.xlsx</t>
  </si>
  <si>
    <t xml:space="preserve">Capexly_Scoring_v2_iter2.xlsx</t>
  </si>
  <si>
    <t xml:space="preserve">Capexly_Scoring_v3_iter3.xlsx</t>
  </si>
  <si>
    <t xml:space="preserve">Capexly_Scoring_v4_iter4.xlsx</t>
  </si>
  <si>
    <t xml:space="preserve">Capexly_Scoring_v5_iter5.xlsx</t>
  </si>
  <si>
    <t xml:space="preserve">_bp2_analogs_table.md</t>
  </si>
  <si>
    <t xml:space="preserve">Фрагмент</t>
  </si>
  <si>
    <t xml:space="preserve">Не в финальном наборе</t>
  </si>
  <si>
    <t xml:space="preserve">Перенесён в отчёты источника; полезное — в каталог/реестр</t>
  </si>
  <si>
    <t xml:space="preserve">_bp2_cash_grants_table.md</t>
  </si>
  <si>
    <t xml:space="preserve">_bp2_catalog_table.md</t>
  </si>
  <si>
    <t xml:space="preserve">_bp2_compare_table.md</t>
  </si>
  <si>
    <t xml:space="preserve">_bp2_docs_table.md</t>
  </si>
  <si>
    <t xml:space="preserve">_bp2_faq_table.md</t>
  </si>
  <si>
    <t xml:space="preserve">_bp2_filters_table.md</t>
  </si>
  <si>
    <t xml:space="preserve">_bp2_fin_base_table.md</t>
  </si>
  <si>
    <t xml:space="preserve">_bp2_fin_cons_table.md</t>
  </si>
  <si>
    <t xml:space="preserve">_bp2_fin_up_table.md</t>
  </si>
  <si>
    <t xml:space="preserve">_bp2_finalists_table.md</t>
  </si>
  <si>
    <t xml:space="preserve">_bp2_funding_table.md</t>
  </si>
  <si>
    <t xml:space="preserve">_bp2_gates_table.md</t>
  </si>
  <si>
    <t xml:space="preserve">_bp2_hires_table.md</t>
  </si>
  <si>
    <t xml:space="preserve">_bp2_positioning_table.md</t>
  </si>
  <si>
    <t xml:space="preserve">_bp2_readiness_catalog_table.md</t>
  </si>
  <si>
    <t xml:space="preserve">_bp2_readiness_table.md</t>
  </si>
  <si>
    <t xml:space="preserve">_bp2_rejected_table.md</t>
  </si>
  <si>
    <t xml:space="preserve">_bp2_roadmap_spec_table.md</t>
  </si>
  <si>
    <t xml:space="preserve">_bp2_roadmap_table.md</t>
  </si>
  <si>
    <t xml:space="preserve">_bp2_sens_table.md</t>
  </si>
  <si>
    <t xml:space="preserve">_bp2_sprints_table.md</t>
  </si>
  <si>
    <t xml:space="preserve">_bp2_stack_table.md</t>
  </si>
  <si>
    <t xml:space="preserve">_bp2_summary_table.md</t>
  </si>
  <si>
    <t xml:space="preserve">_bp2_use_table.md</t>
  </si>
  <si>
    <t xml:space="preserve">_bp_cash_grants_table.md</t>
  </si>
  <si>
    <t xml:space="preserve">_bp_catalog_table.md</t>
  </si>
  <si>
    <t xml:space="preserve">_bp_docs_table.md</t>
  </si>
  <si>
    <t xml:space="preserve">_bp_fin_base_table.md</t>
  </si>
  <si>
    <t xml:space="preserve">_bp_fin_cons_table.md</t>
  </si>
  <si>
    <t xml:space="preserve">_bp_fin_up_table.md</t>
  </si>
  <si>
    <t xml:space="preserve">_bp_funding_table.md</t>
  </si>
  <si>
    <t xml:space="preserve">_bp_gates_table.md</t>
  </si>
  <si>
    <t xml:space="preserve">_bp_hires_table.md</t>
  </si>
  <si>
    <t xml:space="preserve">_bp_hold_table.md</t>
  </si>
  <si>
    <t xml:space="preserve">_bp_roadmap_table.md</t>
  </si>
  <si>
    <t xml:space="preserve">_bp_stack_table.md</t>
  </si>
  <si>
    <t xml:space="preserve">_bp_summary_table.md</t>
  </si>
  <si>
    <t xml:space="preserve">_bp_use_table.md</t>
  </si>
  <si>
    <t xml:space="preserve">_factors_table.md</t>
  </si>
  <si>
    <t xml:space="preserve">_ideas_table.md</t>
  </si>
  <si>
    <t xml:space="preserve">_iter2_delta_table.md</t>
  </si>
  <si>
    <t xml:space="preserve">_iter2_ideas_table.md</t>
  </si>
  <si>
    <t xml:space="preserve">_iter2_modules_table.md</t>
  </si>
  <si>
    <t xml:space="preserve">_iter2_sources_table.md</t>
  </si>
  <si>
    <t xml:space="preserve">_iter3_delta_table.md</t>
  </si>
  <si>
    <t xml:space="preserve">_iter3_feas_table.md</t>
  </si>
  <si>
    <t xml:space="preserve">_iter3_fin_table.md</t>
  </si>
  <si>
    <t xml:space="preserve">_iter3_gtm_table.md</t>
  </si>
  <si>
    <t xml:space="preserve">_iter3_ideas_table.md</t>
  </si>
  <si>
    <t xml:space="preserve">_iter3_market_table.md</t>
  </si>
  <si>
    <t xml:space="preserve">_iter3_plan_table.md</t>
  </si>
  <si>
    <t xml:space="preserve">_iter3_premortem_table.md</t>
  </si>
  <si>
    <t xml:space="preserve">_iter3_pricing_table.md</t>
  </si>
  <si>
    <t xml:space="preserve">_iter3_sources_table.md</t>
  </si>
  <si>
    <t xml:space="preserve">_iter4_calendar_table.md</t>
  </si>
  <si>
    <t xml:space="preserve">_iter4_comp_table.md</t>
  </si>
  <si>
    <t xml:space="preserve">_iter4_delta_table.md</t>
  </si>
  <si>
    <t xml:space="preserve">_iter4_ideas_table.md</t>
  </si>
  <si>
    <t xml:space="preserve">_iter4_sources_table.md</t>
  </si>
  <si>
    <t xml:space="preserve">_iter4_spec_table.md</t>
  </si>
  <si>
    <t xml:space="preserve">_iter4_stack_table.md</t>
  </si>
  <si>
    <t xml:space="preserve">_iter4_voice_table.md</t>
  </si>
  <si>
    <t xml:space="preserve">_iter5_analogs_table.md</t>
  </si>
  <si>
    <t xml:space="preserve">_iter5_court_table.md</t>
  </si>
  <si>
    <t xml:space="preserve">_iter5_deals_table.md</t>
  </si>
  <si>
    <t xml:space="preserve">_iter5_delta_table.md</t>
  </si>
  <si>
    <t xml:space="preserve">_iter5_fin_cons_table.md</t>
  </si>
  <si>
    <t xml:space="preserve">_iter5_fin_table.md</t>
  </si>
  <si>
    <t xml:space="preserve">_iter5_gsn_table.md</t>
  </si>
  <si>
    <t xml:space="preserve">_iter5_ideas_table.md</t>
  </si>
  <si>
    <t xml:space="preserve">_iter5_pilots_table.md</t>
  </si>
  <si>
    <t xml:space="preserve">_iter5_security_table.md</t>
  </si>
  <si>
    <t xml:space="preserve">_iter5_sources_table.md</t>
  </si>
  <si>
    <t xml:space="preserve">_iter5_team_table.md</t>
  </si>
  <si>
    <t xml:space="preserve">_iter5_unit_table.md</t>
  </si>
  <si>
    <t xml:space="preserve">_iter6_calendar_table.md</t>
  </si>
  <si>
    <t xml:space="preserve">_iter6_comp_table.md</t>
  </si>
  <si>
    <t xml:space="preserve">_iter6_delta_table.md</t>
  </si>
  <si>
    <t xml:space="preserve">_iter6_facts_table.md</t>
  </si>
  <si>
    <t xml:space="preserve">_iter6_fincheck_table.md</t>
  </si>
  <si>
    <t xml:space="preserve">_iter6_ideas_table.md</t>
  </si>
  <si>
    <t xml:space="preserve">_iter6_market_table.md</t>
  </si>
  <si>
    <t xml:space="preserve">_iter6_modmap_table.md</t>
  </si>
  <si>
    <t xml:space="preserve">_iter6_niches_table.md</t>
  </si>
  <si>
    <t xml:space="preserve">_iter6_rejected_table.md</t>
  </si>
  <si>
    <t xml:space="preserve">_iter6_sigmap_table.md</t>
  </si>
  <si>
    <t xml:space="preserve">_iter6_sigsum_table.md</t>
  </si>
  <si>
    <t xml:space="preserve">_iter6_sources_table.md</t>
  </si>
  <si>
    <t xml:space="preserve">_iter6_stress_table.md</t>
  </si>
  <si>
    <t xml:space="preserve">build_bizplan.py</t>
  </si>
  <si>
    <t xml:space="preserve">Генератор</t>
  </si>
  <si>
    <t xml:space="preserve">Исходный код не исполнялся; не документ для работы</t>
  </si>
  <si>
    <t xml:space="preserve">build_bizplan_v2.py</t>
  </si>
  <si>
    <t xml:space="preserve">build_iter2.py</t>
  </si>
  <si>
    <t xml:space="preserve">build_iter3.py</t>
  </si>
  <si>
    <t xml:space="preserve">build_iter4.py</t>
  </si>
  <si>
    <t xml:space="preserve">build_iter5.py</t>
  </si>
  <si>
    <t xml:space="preserve">build_iter6.py</t>
  </si>
  <si>
    <t xml:space="preserve">build_scoring.py</t>
  </si>
  <si>
    <t xml:space="preserve">landing/Landing_120_factors_score.md</t>
  </si>
  <si>
    <t xml:space="preserve">Маркетинговый черновик</t>
  </si>
  <si>
    <t xml:space="preserve">Реальный прод не проверен; обещания обновлять после приёмки</t>
  </si>
  <si>
    <t xml:space="preserve">landing/Landing_120_factors_score.xlsx</t>
  </si>
  <si>
    <t xml:space="preserve">landing/build_landing_score.py</t>
  </si>
  <si>
    <t xml:space="preserve">landing/index.html</t>
  </si>
  <si>
    <t xml:space="preserve">landing/screenshots/comparison_table.png</t>
  </si>
  <si>
    <t xml:space="preserve">landing/screenshots/desktop_1366_top.png</t>
  </si>
  <si>
    <t xml:space="preserve">landing/screenshots/desktop_full_page.jpg</t>
  </si>
  <si>
    <t xml:space="preserve">landing/screenshots/mobile_390_header_menu_pricing.png</t>
  </si>
  <si>
    <t xml:space="preserve">md_to_docx.py</t>
  </si>
  <si>
    <t xml:space="preserve">md_to_docx_bizplan.py</t>
  </si>
  <si>
    <t xml:space="preserve">md_to_docx_bizplan_v2.py</t>
  </si>
  <si>
    <t xml:space="preserve">md_to_docx_iter2.py</t>
  </si>
  <si>
    <t xml:space="preserve">md_to_docx_iter3.py</t>
  </si>
  <si>
    <t xml:space="preserve">md_to_docx_iter4.py</t>
  </si>
  <si>
    <t xml:space="preserve">md_to_docx_iter5.py</t>
  </si>
  <si>
    <t xml:space="preserve">md_to_docx_iter6.py</t>
  </si>
  <si>
    <t xml:space="preserve">notes_iter2.md</t>
  </si>
  <si>
    <t xml:space="preserve">Исследовательские заметки</t>
  </si>
  <si>
    <t xml:space="preserve">Сведено</t>
  </si>
  <si>
    <t xml:space="preserve">Источники Sources, оговорки и след выводов сохранены в реестрах</t>
  </si>
  <si>
    <t xml:space="preserve">notes_iter3.md</t>
  </si>
  <si>
    <t xml:space="preserve">notes_iter4.md</t>
  </si>
  <si>
    <t xml:space="preserve">notes_iter5.md</t>
  </si>
  <si>
    <t xml:space="preserve">notes_iter6_cross.md</t>
  </si>
  <si>
    <t xml:space="preserve">notes_sources.md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</si>
</sst>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&quot;  &quot;"/>
    <numFmt numFmtId="166" formatCode="#,##0&quot;  &quot;;[RED]\(#,##0&quot;)  &quot;;&quot;–  &quot;"/>
    <numFmt numFmtId="167" formatCode="0.0%&quot;  &quot;"/>
    <numFmt numFmtId="168" formatCode="0.00&quot;  &quot;"/>
    <numFmt numFmtId="169" formatCode="0&quot;  &quot;"/>
    <numFmt numFmtId="170" formatCode="0"/>
    <numFmt numFmtId="171" formatCode="0.0"/>
    <numFmt numFmtId="172" formatCode="0.0%"/>
    <numFmt numFmtId="173" formatCode="#,##0;[RED]\(#,##0\);\–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35781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1"/>
      <color rgb="FF235781"/>
      <name val="Arial"/>
      <family val="2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35781"/>
        <bgColor rgb="FF0066CC"/>
      </patternFill>
    </fill>
    <fill>
      <patternFill patternType="solid">
        <fgColor rgb="FFF0EFED"/>
        <bgColor rgb="FFE8F1EC"/>
      </patternFill>
    </fill>
    <fill>
      <patternFill patternType="solid">
        <fgColor rgb="FFE5F2FC"/>
        <bgColor rgb="FFE8F1EC"/>
      </patternFill>
    </fill>
    <fill>
      <patternFill patternType="solid">
        <fgColor rgb="FFE8F1EC"/>
        <bgColor rgb="FFF0EFED"/>
      </patternFill>
    </fill>
    <fill>
      <patternFill patternType="solid">
        <fgColor rgb="FFFBEBDE"/>
        <bgColor rgb="FFF0EF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9" fillId="4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8" fontId="9" fillId="4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9" fontId="9" fillId="4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7" fillId="4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2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3" fontId="8" fillId="5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3" fontId="8" fillId="6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23578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5F2FC"/>
          <bgColor rgb="FF000000"/>
        </patternFill>
      </fill>
    </dxf>
    <dxf>
      <fill>
        <patternFill patternType="solid">
          <fgColor rgb="FFE8F1EC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BEBDE"/>
          <bgColor rgb="FF000000"/>
        </patternFill>
      </fill>
    </dxf>
    <dxf>
      <font>
        <name val="Calibri"/>
        <charset val="1"/>
        <family val="2"/>
        <color rgb="FF000000"/>
        <sz val="11"/>
      </font>
      <alignment horizontal="general" vertical="bottom" textRotation="0" wrapText="false" indent="0" shrinkToFit="false"/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9" type="wholeTable"/>
      <tableStyleElement dxfId="10" type="firstColumnStripe"/>
      <tableStyleElement dxfId="11" type="firstRowStripe"/>
      <tableStyleElement dxfId="12" type="lastColumn"/>
      <tableStyleElement dxfId="13" type="firstColumn"/>
      <tableStyleElement dxfId="14" type="headerRow"/>
      <tableStyleElement dxfId="15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BDE"/>
      <rgbColor rgb="FFE5F2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1EC"/>
      <rgbColor rgb="FFF0EFED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23578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talog" displayName="Catalog" ref="A1:I58" headerRowCount="1" totalsRowCount="0" totalsRowShown="0">
  <autoFilter ref="A1:I58"/>
  <tableColumns count="9">
    <tableColumn id="1" name="ID архива"/>
    <tableColumn id="2" name="Итоговая функция / запись"/>
    <tableColumn id="3" name="Класс записи"/>
    <tableColumn id="4" name="Решение F1"/>
    <tableColumn id="5" name="Описание из исследования — НЕ обещание"/>
    <tableColumn id="6" name="Блокер из архива"/>
    <tableColumn id="7" name="Условие перехода"/>
    <tableColumn id="8" name="Требует проверки"/>
    <tableColumn id="9" name="Источни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hecks" displayName="Checks" ref="A1:E12" headerRowCount="1" totalsRowCount="0" totalsRowShown="0">
  <autoFilter ref="A1:E12"/>
  <tableColumns count="5">
    <tableColumn id="1" name="Проверка"/>
    <tableColumn id="2" name="Отклонение / факт"/>
    <tableColumn id="3" name="Ожидание"/>
    <tableColumn id="4" name="Статус"/>
    <tableColumn id="5" name="Пояснени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laims" displayName="Claims" ref="A1:F23" headerRowCount="1" totalsRowCount="0" totalsRowShown="0">
  <autoFilter ref="A1:F23"/>
  <tableColumns count="6">
    <tableColumn id="1" name="ID"/>
    <tableColumn id="2" name="Исходный тезис"/>
    <tableColumn id="3" name="Оценка F1"/>
    <tableColumn id="4" name="Итоговая формулировка"/>
    <tableColumn id="5" name="Опора"/>
    <tableColumn id="6" name="Действи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unding" displayName="Funding" ref="A1:D6" headerRowCount="1" totalsRowCount="0" totalsRowShown="0">
  <autoFilter ref="A1:D6"/>
  <tableColumns count="4">
    <tableColumn id="1" name="Источник"/>
    <tableColumn id="2" name="Принимать в кассу"/>
    <tableColumn id="3" name="Следующее действие"/>
    <tableColumn id="4" name="Ограничение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puts" displayName="Inputs" ref="A1:E20" headerRowCount="1" totalsRowCount="0" totalsRowShown="0">
  <autoFilter ref="A1:E20"/>
  <tableColumns count="5">
    <tableColumn id="1" name="Драйвер"/>
    <tableColumn id="2" name="Слабый F1"/>
    <tableColumn id="3" name="Рабочий F1"/>
    <tableColumn id="4" name="Сильный F1"/>
    <tableColumn id="5" name="Основание / ограничения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anifest" displayName="Manifest" ref="A1:D145" headerRowCount="1" totalsRowCount="0" totalsRowShown="0">
  <autoFilter ref="A1:D145"/>
  <tableColumns count="4">
    <tableColumn id="1" name="Файл оригинального архива"/>
    <tableColumn id="2" name="Тип"/>
    <tableColumn id="3" name="Решение"/>
    <tableColumn id="4" name="Куда / почему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odel0" displayName="Model0" ref="A1:Y13" headerRowCount="1" totalsRowCount="0" totalsRowShown="0">
  <autoFilter ref="A1:Y13"/>
  <tableColumns count="25">
    <tableColumn id="1" name="Мес."/>
    <tableColumn id="2" name="Контакты"/>
    <tableColumn id="3" name="Ответы"/>
    <tableColumn id="4" name="Демо"/>
    <tableColumn id="5" name="Новые прямые"/>
    <tableColumn id="6" name="Новые партн."/>
    <tableColumn id="7" name="Отток, клиентов"/>
    <tableColumn id="8" name="Клиенты на конец"/>
    <tableColumn id="9" name="Средние активные"/>
    <tableColumn id="10" name="ARPU, руб."/>
    <tableColumn id="11" name="MRR конец, руб."/>
    <tableColumn id="12" name="Разовые пилоты"/>
    <tableColumn id="13" name="Разовые документы"/>
    <tableColumn id="14" name="Начислено всего"/>
    <tableColumn id="15" name="Прямые затраты"/>
    <tableColumn id="16" name="Вклад до фикс."/>
    <tableColumn id="17" name="Фикс. выплаты"/>
    <tableColumn id="18" name="Налоговый резерв"/>
    <tableColumn id="19" name="Неопл. труд основ."/>
    <tableColumn id="20" name="Экон. результат"/>
    <tableColumn id="21" name="Денежные поступления"/>
    <tableColumn id="22" name="Денежные расходы"/>
    <tableColumn id="23" name="Подтвержд. деньги"/>
    <tableColumn id="24" name="Касса на конец"/>
    <tableColumn id="25" name="Запас кассы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Model1" displayName="Model1" ref="A1:Y13" headerRowCount="1" totalsRowCount="0" totalsRowShown="0">
  <autoFilter ref="A1:Y13"/>
  <tableColumns count="25">
    <tableColumn id="1" name="Мес."/>
    <tableColumn id="2" name="Контакты"/>
    <tableColumn id="3" name="Ответы"/>
    <tableColumn id="4" name="Демо"/>
    <tableColumn id="5" name="Новые прямые"/>
    <tableColumn id="6" name="Новые партн."/>
    <tableColumn id="7" name="Отток, клиентов"/>
    <tableColumn id="8" name="Клиенты на конец"/>
    <tableColumn id="9" name="Средние активные"/>
    <tableColumn id="10" name="ARPU, руб."/>
    <tableColumn id="11" name="MRR конец, руб."/>
    <tableColumn id="12" name="Разовые пилоты"/>
    <tableColumn id="13" name="Разовые документы"/>
    <tableColumn id="14" name="Начислено всего"/>
    <tableColumn id="15" name="Прямые затраты"/>
    <tableColumn id="16" name="Вклад до фикс."/>
    <tableColumn id="17" name="Фикс. выплаты"/>
    <tableColumn id="18" name="Налоговый резерв"/>
    <tableColumn id="19" name="Неопл. труд основ."/>
    <tableColumn id="20" name="Экон. результат"/>
    <tableColumn id="21" name="Денежные поступления"/>
    <tableColumn id="22" name="Денежные расходы"/>
    <tableColumn id="23" name="Подтвержд. деньги"/>
    <tableColumn id="24" name="Касса на конец"/>
    <tableColumn id="25" name="Запас кассы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odel2" displayName="Model2" ref="A1:Y13" headerRowCount="1" totalsRowCount="0" totalsRowShown="0">
  <autoFilter ref="A1:Y13"/>
  <tableColumns count="25">
    <tableColumn id="1" name="Мес."/>
    <tableColumn id="2" name="Контакты"/>
    <tableColumn id="3" name="Ответы"/>
    <tableColumn id="4" name="Демо"/>
    <tableColumn id="5" name="Новые прямые"/>
    <tableColumn id="6" name="Новые партн."/>
    <tableColumn id="7" name="Отток, клиентов"/>
    <tableColumn id="8" name="Клиенты на конец"/>
    <tableColumn id="9" name="Средние активные"/>
    <tableColumn id="10" name="ARPU, руб."/>
    <tableColumn id="11" name="MRR конец, руб."/>
    <tableColumn id="12" name="Разовые пилоты"/>
    <tableColumn id="13" name="Разовые документы"/>
    <tableColumn id="14" name="Начислено всего"/>
    <tableColumn id="15" name="Прямые затраты"/>
    <tableColumn id="16" name="Вклад до фикс."/>
    <tableColumn id="17" name="Фикс. выплаты"/>
    <tableColumn id="18" name="Налоговый резерв"/>
    <tableColumn id="19" name="Неопл. труд основ."/>
    <tableColumn id="20" name="Экон. результат"/>
    <tableColumn id="21" name="Денежные поступления"/>
    <tableColumn id="22" name="Денежные расходы"/>
    <tableColumn id="23" name="Подтвержд. деньги"/>
    <tableColumn id="24" name="Касса на конец"/>
    <tableColumn id="25" name="Запас кассы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MonthlyPlan" displayName="MonthlyPlan" ref="A1:J13" headerRowCount="1" totalsRowCount="0" totalsRowShown="0">
  <autoFilter ref="A1:J13"/>
  <tableColumns count="10">
    <tableColumn id="1" name="Месяц"/>
    <tableColumn id="2" name="Период"/>
    <tableColumn id="3" name="Контакты с основанием"/>
    <tableColumn id="4" name="Партнёрские новые клиенты"/>
    <tableColumn id="5" name="Пилоты, отдельных шт."/>
    <tableColumn id="6" name="Разовые документы, шт."/>
    <tableColumn id="7" name="Доля документов с экспертной проверкой"/>
    <tableColumn id="8" name="Постоянные платежи, руб."/>
    <tableColumn id="9" name="Подтверждённое финансирование, руб."/>
    <tableColumn id="10" name="Комментарий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ejected" displayName="Rejected" ref="A1:D31" headerRowCount="1" totalsRowCount="0" totalsRowShown="0">
  <autoFilter ref="A1:D31"/>
  <tableColumns count="4">
    <tableColumn id="1" name="Зона / идея"/>
    <tableColumn id="2" name="Причина из архива"/>
    <tableColumn id="3" name="Сохранённое объяснение"/>
    <tableColumn id="4" name="Статус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Signals" displayName="Signals" ref="A1:I126" headerRowCount="1" totalsRowCount="0" totalsRowShown="0">
  <autoFilter ref="A1:I126"/>
  <tableColumns count="9">
    <tableColumn id="1" name="ID"/>
    <tableColumn id="2" name="Категория (внешн.)"/>
    <tableColumn id="3" name="Сигнал (кратко)"/>
    <tableColumn id="4" name="Флаг"/>
    <tableColumn id="5" name="Сила"/>
    <tableColumn id="6" name="Модуль Capexly"/>
    <tableColumn id="7" name="Отношение"/>
    <tableColumn id="8" name="Комментарий"/>
    <tableColumn id="9" name="Статус F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Sources" displayName="Sources" ref="A1:E638" headerRowCount="1" totalsRowCount="0" totalsRowShown="0">
  <autoFilter ref="A1:E638"/>
  <tableColumns count="5">
    <tableColumn id="1" name="ID"/>
    <tableColumn id="2" name="URL или домен"/>
    <tableColumn id="3" name="Тип записи"/>
    <tableColumn id="4" name="Где найдено / что проверено"/>
    <tableColumn id="5" name="Стату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9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7"/>
    <col collapsed="false" customWidth="true" hidden="false" outlineLevel="0" max="4" min="2" style="0" width="24"/>
    <col collapsed="false" customWidth="true" hidden="false" outlineLevel="0" max="5" min="5" style="0" width="4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 t="s">
        <v>1</v>
      </c>
    </row>
    <row r="2" customFormat="false" ht="42" hidden="false" customHeight="true" outlineLevel="0" collapsed="false">
      <c r="A2" s="2" t="s">
        <v>2</v>
      </c>
      <c r="B2" s="2"/>
      <c r="C2" s="2"/>
      <c r="D2" s="2"/>
      <c r="E2" s="2"/>
    </row>
    <row r="3" customFormat="false" ht="42" hidden="false" customHeight="true" outlineLevel="0" collapsed="false">
      <c r="A3" s="2" t="s">
        <v>3</v>
      </c>
      <c r="B3" s="2"/>
      <c r="C3" s="2"/>
      <c r="D3" s="2"/>
      <c r="E3" s="2"/>
    </row>
    <row r="5" customFormat="false" ht="42" hidden="false" customHeight="true" outlineLevel="0" collapsed="false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customFormat="false" ht="42" hidden="false" customHeight="true" outlineLevel="0" collapsed="false">
      <c r="A6" s="4" t="s">
        <v>9</v>
      </c>
      <c r="B6" s="5" t="n">
        <f aca="false">'Слабый F1'!H13</f>
        <v>12.9404938518272</v>
      </c>
      <c r="C6" s="5" t="n">
        <f aca="false">'Рабочий F1'!H13</f>
        <v>48.3175690403852</v>
      </c>
      <c r="D6" s="5" t="n">
        <f aca="false">'Сильный F1'!H13</f>
        <v>101.096547069996</v>
      </c>
      <c r="E6" s="4" t="s">
        <v>10</v>
      </c>
    </row>
    <row r="7" customFormat="false" ht="42" hidden="false" customHeight="true" outlineLevel="0" collapsed="false">
      <c r="A7" s="4" t="s">
        <v>11</v>
      </c>
      <c r="B7" s="6" t="n">
        <f aca="false">'Слабый F1'!K13</f>
        <v>128110.889133089</v>
      </c>
      <c r="C7" s="6" t="n">
        <f aca="false">'Рабочий F1'!K13</f>
        <v>719931.778701739</v>
      </c>
      <c r="D7" s="6" t="n">
        <f aca="false">'Сильный F1'!K13</f>
        <v>2011821.28669293</v>
      </c>
      <c r="E7" s="4" t="s">
        <v>12</v>
      </c>
    </row>
    <row r="8" customFormat="false" ht="42" hidden="false" customHeight="true" outlineLevel="0" collapsed="false">
      <c r="A8" s="4" t="s">
        <v>13</v>
      </c>
      <c r="B8" s="6" t="n">
        <f aca="false">SUM('Слабый F1'!N2:N13)</f>
        <v>601873.959015065</v>
      </c>
      <c r="C8" s="6" t="n">
        <f aca="false">SUM('Рабочий F1'!N2:N13)</f>
        <v>3314796.4218074</v>
      </c>
      <c r="D8" s="6" t="n">
        <f aca="false">SUM('Сильный F1'!N2:N13)</f>
        <v>9167201.08691551</v>
      </c>
      <c r="E8" s="4" t="s">
        <v>14</v>
      </c>
    </row>
    <row r="9" customFormat="false" ht="42" hidden="false" customHeight="true" outlineLevel="0" collapsed="false">
      <c r="A9" s="4" t="s">
        <v>15</v>
      </c>
      <c r="B9" s="6" t="n">
        <f aca="false">'Слабый F1'!X13</f>
        <v>-367545.880221345</v>
      </c>
      <c r="C9" s="6" t="n">
        <f aca="false">'Рабочий F1'!X13</f>
        <v>836917.641563466</v>
      </c>
      <c r="D9" s="6" t="n">
        <f aca="false">'Сильный F1'!X13</f>
        <v>4564952.17177493</v>
      </c>
      <c r="E9" s="4" t="s">
        <v>16</v>
      </c>
    </row>
    <row r="10" customFormat="false" ht="42" hidden="false" customHeight="true" outlineLevel="0" collapsed="false">
      <c r="A10" s="4" t="s">
        <v>17</v>
      </c>
      <c r="B10" s="6" t="n">
        <f aca="false">MIN('Слабый F1'!X2:X13)</f>
        <v>-367545.880221345</v>
      </c>
      <c r="C10" s="6" t="n">
        <f aca="false">MIN('Рабочий F1'!X2:X13)</f>
        <v>50785.366932</v>
      </c>
      <c r="D10" s="6" t="n">
        <f aca="false">MIN('Сильный F1'!X2:X13)</f>
        <v>100762.604</v>
      </c>
      <c r="E10" s="4" t="s">
        <v>18</v>
      </c>
    </row>
    <row r="11" customFormat="false" ht="42" hidden="false" customHeight="true" outlineLevel="0" collapsed="false">
      <c r="A11" s="4" t="s">
        <v>19</v>
      </c>
      <c r="B11" s="6" t="n">
        <f aca="false">MAX(0,-MIN('Слабый F1'!X2:X13))</f>
        <v>367545.880221345</v>
      </c>
      <c r="C11" s="6" t="n">
        <f aca="false">MAX(0,-MIN('Рабочий F1'!X2:X13))</f>
        <v>0</v>
      </c>
      <c r="D11" s="6" t="n">
        <f aca="false">MAX(0,-MIN('Сильный F1'!X2:X13))</f>
        <v>0</v>
      </c>
      <c r="E11" s="4" t="s">
        <v>20</v>
      </c>
    </row>
    <row r="12" customFormat="false" ht="42" hidden="false" customHeight="true" outlineLevel="0" collapsed="false">
      <c r="A12" s="4" t="s">
        <v>21</v>
      </c>
      <c r="B12" s="6" t="n">
        <f aca="false">'Слабый F1'!T13</f>
        <v>-97650.1414998744</v>
      </c>
      <c r="C12" s="6" t="n">
        <f aca="false">'Рабочий F1'!T13</f>
        <v>175049.956430589</v>
      </c>
      <c r="D12" s="6" t="n">
        <f aca="false">'Сильный F1'!T13</f>
        <v>937381.973216252</v>
      </c>
      <c r="E12" s="4" t="s">
        <v>22</v>
      </c>
    </row>
    <row r="13" customFormat="false" ht="42" hidden="false" customHeight="true" outlineLevel="0" collapsed="false">
      <c r="A13" s="4" t="s">
        <v>23</v>
      </c>
      <c r="B13" s="6" t="n">
        <f aca="false">MAX(0,'Допущения F1'!B20*MAX('Слабый F1'!Q2:Q13)-MIN('Слабый F1'!X2:X13))</f>
        <v>547545.880221345</v>
      </c>
      <c r="C13" s="6" t="n">
        <f aca="false">MAX(0,'Допущения F1'!C20*MAX('Рабочий F1'!Q2:Q13)-MIN('Рабочий F1'!X2:X13))</f>
        <v>129214.633068</v>
      </c>
      <c r="D13" s="6" t="n">
        <f aca="false">MAX(0,'Допущения F1'!D20*MAX('Сильный F1'!Q2:Q13)-MIN('Сильный F1'!X2:X13))</f>
        <v>79237.396</v>
      </c>
      <c r="E13" s="4" t="s">
        <v>24</v>
      </c>
    </row>
    <row r="15" customFormat="false" ht="39.75" hidden="false" customHeight="true" outlineLevel="0" collapsed="false">
      <c r="A15" s="7" t="s">
        <v>25</v>
      </c>
      <c r="B15" s="7"/>
      <c r="C15" s="7"/>
      <c r="D15" s="7"/>
      <c r="E15" s="7"/>
    </row>
    <row r="16" customFormat="false" ht="39.75" hidden="false" customHeight="true" outlineLevel="0" collapsed="false">
      <c r="A16" s="8" t="s">
        <v>26</v>
      </c>
      <c r="B16" s="8" t="s">
        <v>27</v>
      </c>
      <c r="C16" s="8" t="s">
        <v>28</v>
      </c>
      <c r="D16" s="8" t="s">
        <v>29</v>
      </c>
      <c r="E16" s="8" t="s">
        <v>30</v>
      </c>
    </row>
    <row r="17" customFormat="false" ht="39.75" hidden="false" customHeight="true" outlineLevel="0" collapsed="false">
      <c r="A17" s="8" t="s">
        <v>31</v>
      </c>
      <c r="B17" s="8" t="s">
        <v>32</v>
      </c>
      <c r="C17" s="8"/>
      <c r="D17" s="8"/>
      <c r="E17" s="8" t="s">
        <v>33</v>
      </c>
    </row>
    <row r="18" customFormat="false" ht="39.75" hidden="false" customHeight="true" outlineLevel="0" collapsed="false">
      <c r="A18" s="8" t="s">
        <v>34</v>
      </c>
      <c r="B18" s="8" t="s">
        <v>35</v>
      </c>
      <c r="C18" s="8"/>
      <c r="D18" s="8"/>
      <c r="E18" s="8" t="s">
        <v>36</v>
      </c>
    </row>
    <row r="19" customFormat="false" ht="39.75" hidden="false" customHeight="true" outlineLevel="0" collapsed="false">
      <c r="A19" s="8" t="s">
        <v>37</v>
      </c>
      <c r="B19" s="8" t="s">
        <v>38</v>
      </c>
      <c r="C19" s="8"/>
      <c r="D19" s="8"/>
      <c r="E19" s="8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9"/>
    <col collapsed="false" customWidth="true" hidden="false" outlineLevel="0" max="5" min="5" style="0" width="60"/>
  </cols>
  <sheetData>
    <row r="1" customFormat="false" ht="42" hidden="false" customHeight="true" outlineLevel="0" collapsed="false">
      <c r="A1" s="9" t="s">
        <v>40</v>
      </c>
      <c r="B1" s="9" t="s">
        <v>5</v>
      </c>
      <c r="C1" s="9" t="s">
        <v>6</v>
      </c>
      <c r="D1" s="9" t="s">
        <v>7</v>
      </c>
      <c r="E1" s="9" t="s">
        <v>41</v>
      </c>
    </row>
    <row r="2" customFormat="false" ht="43.5" hidden="false" customHeight="true" outlineLevel="0" collapsed="false">
      <c r="A2" s="10" t="s">
        <v>42</v>
      </c>
      <c r="B2" s="11" t="n">
        <v>150000</v>
      </c>
      <c r="C2" s="11" t="n">
        <v>150000</v>
      </c>
      <c r="D2" s="11" t="n">
        <v>150000</v>
      </c>
      <c r="E2" s="10" t="s">
        <v>43</v>
      </c>
    </row>
    <row r="3" customFormat="false" ht="43.5" hidden="false" customHeight="true" outlineLevel="0" collapsed="false">
      <c r="A3" s="10" t="s">
        <v>44</v>
      </c>
      <c r="B3" s="11" t="n">
        <v>31000</v>
      </c>
      <c r="C3" s="11" t="n">
        <v>31000</v>
      </c>
      <c r="D3" s="11" t="n">
        <v>31000</v>
      </c>
      <c r="E3" s="10" t="s">
        <v>45</v>
      </c>
    </row>
    <row r="4" customFormat="false" ht="43.5" hidden="false" customHeight="true" outlineLevel="0" collapsed="false">
      <c r="A4" s="10" t="s">
        <v>46</v>
      </c>
      <c r="B4" s="12" t="n">
        <v>0.15</v>
      </c>
      <c r="C4" s="12" t="n">
        <v>0.25</v>
      </c>
      <c r="D4" s="12" t="n">
        <v>0.35</v>
      </c>
      <c r="E4" s="10" t="s">
        <v>47</v>
      </c>
    </row>
    <row r="5" customFormat="false" ht="43.5" hidden="false" customHeight="true" outlineLevel="0" collapsed="false">
      <c r="A5" s="10" t="s">
        <v>48</v>
      </c>
      <c r="B5" s="12" t="n">
        <v>0.4</v>
      </c>
      <c r="C5" s="12" t="n">
        <v>0.5</v>
      </c>
      <c r="D5" s="12" t="n">
        <v>0.6</v>
      </c>
      <c r="E5" s="10" t="s">
        <v>49</v>
      </c>
    </row>
    <row r="6" customFormat="false" ht="43.5" hidden="false" customHeight="true" outlineLevel="0" collapsed="false">
      <c r="A6" s="10" t="s">
        <v>50</v>
      </c>
      <c r="B6" s="12" t="n">
        <v>0.15</v>
      </c>
      <c r="C6" s="12" t="n">
        <v>0.25</v>
      </c>
      <c r="D6" s="12" t="n">
        <v>0.3</v>
      </c>
      <c r="E6" s="10" t="s">
        <v>49</v>
      </c>
    </row>
    <row r="7" customFormat="false" ht="43.5" hidden="false" customHeight="true" outlineLevel="0" collapsed="false">
      <c r="A7" s="10" t="s">
        <v>51</v>
      </c>
      <c r="B7" s="12" t="n">
        <v>0.06</v>
      </c>
      <c r="C7" s="12" t="n">
        <v>0.04</v>
      </c>
      <c r="D7" s="12" t="n">
        <v>0.03</v>
      </c>
      <c r="E7" s="10" t="s">
        <v>52</v>
      </c>
    </row>
    <row r="8" customFormat="false" ht="43.5" hidden="false" customHeight="true" outlineLevel="0" collapsed="false">
      <c r="A8" s="10" t="s">
        <v>53</v>
      </c>
      <c r="B8" s="11" t="n">
        <v>9900</v>
      </c>
      <c r="C8" s="11" t="n">
        <v>14900</v>
      </c>
      <c r="D8" s="11" t="n">
        <v>19900</v>
      </c>
      <c r="E8" s="10" t="s">
        <v>54</v>
      </c>
    </row>
    <row r="9" customFormat="false" ht="43.5" hidden="false" customHeight="true" outlineLevel="0" collapsed="false">
      <c r="A9" s="10" t="s">
        <v>55</v>
      </c>
      <c r="B9" s="13" t="n">
        <v>10</v>
      </c>
      <c r="C9" s="13" t="n">
        <v>10</v>
      </c>
      <c r="D9" s="13" t="n">
        <v>10</v>
      </c>
      <c r="E9" s="10" t="s">
        <v>56</v>
      </c>
    </row>
    <row r="10" customFormat="false" ht="43.5" hidden="false" customHeight="true" outlineLevel="0" collapsed="false">
      <c r="A10" s="10" t="s">
        <v>57</v>
      </c>
      <c r="B10" s="11" t="n">
        <v>50</v>
      </c>
      <c r="C10" s="11" t="n">
        <v>50</v>
      </c>
      <c r="D10" s="11" t="n">
        <v>50</v>
      </c>
      <c r="E10" s="10" t="s">
        <v>58</v>
      </c>
    </row>
    <row r="11" customFormat="false" ht="43.5" hidden="false" customHeight="true" outlineLevel="0" collapsed="false">
      <c r="A11" s="10" t="s">
        <v>59</v>
      </c>
      <c r="B11" s="14" t="n">
        <v>0.35</v>
      </c>
      <c r="C11" s="14" t="n">
        <v>0.35</v>
      </c>
      <c r="D11" s="14" t="n">
        <v>0.35</v>
      </c>
      <c r="E11" s="10" t="s">
        <v>60</v>
      </c>
    </row>
    <row r="12" customFormat="false" ht="43.5" hidden="false" customHeight="true" outlineLevel="0" collapsed="false">
      <c r="A12" s="10" t="s">
        <v>61</v>
      </c>
      <c r="B12" s="11" t="n">
        <v>2000</v>
      </c>
      <c r="C12" s="11" t="n">
        <v>2000</v>
      </c>
      <c r="D12" s="11" t="n">
        <v>2000</v>
      </c>
      <c r="E12" s="10" t="s">
        <v>62</v>
      </c>
    </row>
    <row r="13" customFormat="false" ht="43.5" hidden="false" customHeight="true" outlineLevel="0" collapsed="false">
      <c r="A13" s="10" t="s">
        <v>63</v>
      </c>
      <c r="B13" s="12" t="n">
        <v>0.5</v>
      </c>
      <c r="C13" s="12" t="n">
        <v>0.3</v>
      </c>
      <c r="D13" s="12" t="n">
        <v>0.1</v>
      </c>
      <c r="E13" s="10" t="s">
        <v>64</v>
      </c>
    </row>
    <row r="14" customFormat="false" ht="43.5" hidden="false" customHeight="true" outlineLevel="0" collapsed="false">
      <c r="A14" s="10" t="s">
        <v>65</v>
      </c>
      <c r="B14" s="12" t="n">
        <v>0.06</v>
      </c>
      <c r="C14" s="12" t="n">
        <v>0.06</v>
      </c>
      <c r="D14" s="12" t="n">
        <v>0.06</v>
      </c>
      <c r="E14" s="10" t="s">
        <v>66</v>
      </c>
    </row>
    <row r="15" customFormat="false" ht="43.5" hidden="false" customHeight="true" outlineLevel="0" collapsed="false">
      <c r="A15" s="10" t="s">
        <v>67</v>
      </c>
      <c r="B15" s="12" t="n">
        <v>0.2</v>
      </c>
      <c r="C15" s="12" t="n">
        <v>0.2</v>
      </c>
      <c r="D15" s="12" t="n">
        <v>0.2</v>
      </c>
      <c r="E15" s="10" t="s">
        <v>68</v>
      </c>
    </row>
    <row r="16" customFormat="false" ht="43.5" hidden="false" customHeight="true" outlineLevel="0" collapsed="false">
      <c r="A16" s="10" t="s">
        <v>69</v>
      </c>
      <c r="B16" s="11" t="n">
        <v>2990</v>
      </c>
      <c r="C16" s="11" t="n">
        <v>2990</v>
      </c>
      <c r="D16" s="11" t="n">
        <v>2990</v>
      </c>
      <c r="E16" s="10" t="s">
        <v>70</v>
      </c>
    </row>
    <row r="17" customFormat="false" ht="43.5" hidden="false" customHeight="true" outlineLevel="0" collapsed="false">
      <c r="A17" s="10" t="s">
        <v>71</v>
      </c>
      <c r="B17" s="11" t="n">
        <v>49000</v>
      </c>
      <c r="C17" s="11" t="n">
        <v>49000</v>
      </c>
      <c r="D17" s="11" t="n">
        <v>49000</v>
      </c>
      <c r="E17" s="10" t="s">
        <v>72</v>
      </c>
    </row>
    <row r="18" customFormat="false" ht="43.5" hidden="false" customHeight="true" outlineLevel="0" collapsed="false">
      <c r="A18" s="10" t="s">
        <v>73</v>
      </c>
      <c r="B18" s="11" t="n">
        <v>0</v>
      </c>
      <c r="C18" s="11" t="n">
        <v>0</v>
      </c>
      <c r="D18" s="11" t="n">
        <v>0</v>
      </c>
      <c r="E18" s="10" t="s">
        <v>74</v>
      </c>
    </row>
    <row r="19" customFormat="false" ht="43.5" hidden="false" customHeight="true" outlineLevel="0" collapsed="false">
      <c r="A19" s="10" t="s">
        <v>75</v>
      </c>
      <c r="B19" s="11" t="n">
        <v>60000</v>
      </c>
      <c r="C19" s="11" t="n">
        <v>60000</v>
      </c>
      <c r="D19" s="11" t="n">
        <v>60000</v>
      </c>
      <c r="E19" s="10" t="s">
        <v>76</v>
      </c>
    </row>
    <row r="20" customFormat="false" ht="43.5" hidden="false" customHeight="true" outlineLevel="0" collapsed="false">
      <c r="A20" s="10" t="s">
        <v>77</v>
      </c>
      <c r="B20" s="15" t="n">
        <v>3</v>
      </c>
      <c r="C20" s="15" t="n">
        <v>3</v>
      </c>
      <c r="D20" s="15" t="n">
        <v>3</v>
      </c>
      <c r="E20" s="1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1"/>
    <col collapsed="false" customWidth="true" hidden="false" outlineLevel="0" max="9" min="3" style="0" width="22"/>
    <col collapsed="false" customWidth="true" hidden="false" outlineLevel="0" max="10" min="10" style="0" width="24"/>
  </cols>
  <sheetData>
    <row r="1" customFormat="false" ht="42" hidden="false" customHeight="true" outlineLevel="0" collapsed="false">
      <c r="A1" s="9" t="s">
        <v>79</v>
      </c>
      <c r="B1" s="9" t="s">
        <v>80</v>
      </c>
      <c r="C1" s="9" t="s">
        <v>81</v>
      </c>
      <c r="D1" s="9" t="s">
        <v>82</v>
      </c>
      <c r="E1" s="9" t="s">
        <v>83</v>
      </c>
      <c r="F1" s="9" t="s">
        <v>84</v>
      </c>
      <c r="G1" s="9" t="s">
        <v>85</v>
      </c>
      <c r="H1" s="9" t="s">
        <v>86</v>
      </c>
      <c r="I1" s="9" t="s">
        <v>87</v>
      </c>
      <c r="J1" s="9" t="s">
        <v>88</v>
      </c>
    </row>
    <row r="2" customFormat="false" ht="64.5" hidden="false" customHeight="true" outlineLevel="0" collapsed="false">
      <c r="A2" s="16" t="n">
        <v>1</v>
      </c>
      <c r="B2" s="10" t="s">
        <v>89</v>
      </c>
      <c r="C2" s="17" t="n">
        <v>40</v>
      </c>
      <c r="D2" s="17" t="n">
        <v>0</v>
      </c>
      <c r="E2" s="17" t="n">
        <v>0</v>
      </c>
      <c r="F2" s="17" t="n">
        <v>0</v>
      </c>
      <c r="G2" s="18" t="n">
        <v>1</v>
      </c>
      <c r="H2" s="19" t="n">
        <v>30000</v>
      </c>
      <c r="I2" s="19" t="n">
        <v>0</v>
      </c>
      <c r="J2" s="10" t="s">
        <v>90</v>
      </c>
    </row>
    <row r="3" customFormat="false" ht="64.5" hidden="false" customHeight="true" outlineLevel="0" collapsed="false">
      <c r="A3" s="16" t="n">
        <v>2</v>
      </c>
      <c r="B3" s="10" t="s">
        <v>91</v>
      </c>
      <c r="C3" s="17" t="n">
        <v>60</v>
      </c>
      <c r="D3" s="17" t="n">
        <v>0</v>
      </c>
      <c r="E3" s="17" t="n">
        <v>0</v>
      </c>
      <c r="F3" s="17" t="n">
        <v>0</v>
      </c>
      <c r="G3" s="18" t="n">
        <v>1</v>
      </c>
      <c r="H3" s="19" t="n">
        <v>30000</v>
      </c>
      <c r="I3" s="19" t="n">
        <v>0</v>
      </c>
      <c r="J3" s="10" t="s">
        <v>90</v>
      </c>
    </row>
    <row r="4" customFormat="false" ht="64.5" hidden="false" customHeight="true" outlineLevel="0" collapsed="false">
      <c r="A4" s="16" t="n">
        <v>3</v>
      </c>
      <c r="B4" s="10" t="s">
        <v>92</v>
      </c>
      <c r="C4" s="17" t="n">
        <v>80</v>
      </c>
      <c r="D4" s="17" t="n">
        <v>0</v>
      </c>
      <c r="E4" s="17" t="n">
        <v>0</v>
      </c>
      <c r="F4" s="17" t="n">
        <v>0</v>
      </c>
      <c r="G4" s="18" t="n">
        <v>1</v>
      </c>
      <c r="H4" s="19" t="n">
        <v>30000</v>
      </c>
      <c r="I4" s="19" t="n">
        <v>0</v>
      </c>
      <c r="J4" s="10" t="s">
        <v>90</v>
      </c>
    </row>
    <row r="5" customFormat="false" ht="64.5" hidden="false" customHeight="true" outlineLevel="0" collapsed="false">
      <c r="A5" s="16" t="n">
        <v>4</v>
      </c>
      <c r="B5" s="10" t="s">
        <v>93</v>
      </c>
      <c r="C5" s="17" t="n">
        <v>100</v>
      </c>
      <c r="D5" s="17" t="n">
        <v>0</v>
      </c>
      <c r="E5" s="17" t="n">
        <v>0</v>
      </c>
      <c r="F5" s="17" t="n">
        <v>0</v>
      </c>
      <c r="G5" s="18" t="n">
        <v>1</v>
      </c>
      <c r="H5" s="19" t="n">
        <v>40000</v>
      </c>
      <c r="I5" s="19" t="n">
        <v>0</v>
      </c>
      <c r="J5" s="10" t="s">
        <v>90</v>
      </c>
    </row>
    <row r="6" customFormat="false" ht="64.5" hidden="false" customHeight="true" outlineLevel="0" collapsed="false">
      <c r="A6" s="16" t="n">
        <v>5</v>
      </c>
      <c r="B6" s="10" t="s">
        <v>94</v>
      </c>
      <c r="C6" s="17" t="n">
        <v>120</v>
      </c>
      <c r="D6" s="17" t="n">
        <v>0</v>
      </c>
      <c r="E6" s="17" t="n">
        <v>0</v>
      </c>
      <c r="F6" s="17" t="n">
        <v>0</v>
      </c>
      <c r="G6" s="18" t="n">
        <v>1</v>
      </c>
      <c r="H6" s="19" t="n">
        <v>40000</v>
      </c>
      <c r="I6" s="19" t="n">
        <v>0</v>
      </c>
      <c r="J6" s="10" t="s">
        <v>90</v>
      </c>
    </row>
    <row r="7" customFormat="false" ht="64.5" hidden="false" customHeight="true" outlineLevel="0" collapsed="false">
      <c r="A7" s="16" t="n">
        <v>6</v>
      </c>
      <c r="B7" s="10" t="s">
        <v>95</v>
      </c>
      <c r="C7" s="17" t="n">
        <v>140</v>
      </c>
      <c r="D7" s="17" t="n">
        <v>0</v>
      </c>
      <c r="E7" s="17" t="n">
        <v>0</v>
      </c>
      <c r="F7" s="17" t="n">
        <v>0</v>
      </c>
      <c r="G7" s="18" t="n">
        <v>1</v>
      </c>
      <c r="H7" s="19" t="n">
        <v>40000</v>
      </c>
      <c r="I7" s="19" t="n">
        <v>0</v>
      </c>
      <c r="J7" s="10" t="s">
        <v>90</v>
      </c>
    </row>
    <row r="8" customFormat="false" ht="64.5" hidden="false" customHeight="true" outlineLevel="0" collapsed="false">
      <c r="A8" s="16" t="n">
        <v>7</v>
      </c>
      <c r="B8" s="10" t="s">
        <v>96</v>
      </c>
      <c r="C8" s="17" t="n">
        <v>160</v>
      </c>
      <c r="D8" s="17" t="n">
        <v>0</v>
      </c>
      <c r="E8" s="17" t="n">
        <v>0</v>
      </c>
      <c r="F8" s="17" t="n">
        <v>0</v>
      </c>
      <c r="G8" s="18" t="n">
        <v>1</v>
      </c>
      <c r="H8" s="19" t="n">
        <v>50000</v>
      </c>
      <c r="I8" s="19" t="n">
        <v>0</v>
      </c>
      <c r="J8" s="10" t="s">
        <v>90</v>
      </c>
    </row>
    <row r="9" customFormat="false" ht="64.5" hidden="false" customHeight="true" outlineLevel="0" collapsed="false">
      <c r="A9" s="16" t="n">
        <v>8</v>
      </c>
      <c r="B9" s="10" t="s">
        <v>97</v>
      </c>
      <c r="C9" s="17" t="n">
        <v>180</v>
      </c>
      <c r="D9" s="17" t="n">
        <v>0</v>
      </c>
      <c r="E9" s="17" t="n">
        <v>0</v>
      </c>
      <c r="F9" s="17" t="n">
        <v>0</v>
      </c>
      <c r="G9" s="18" t="n">
        <v>1</v>
      </c>
      <c r="H9" s="19" t="n">
        <v>50000</v>
      </c>
      <c r="I9" s="19" t="n">
        <v>0</v>
      </c>
      <c r="J9" s="10" t="s">
        <v>90</v>
      </c>
    </row>
    <row r="10" customFormat="false" ht="64.5" hidden="false" customHeight="true" outlineLevel="0" collapsed="false">
      <c r="A10" s="16" t="n">
        <v>9</v>
      </c>
      <c r="B10" s="10" t="s">
        <v>98</v>
      </c>
      <c r="C10" s="17" t="n">
        <v>200</v>
      </c>
      <c r="D10" s="17" t="n">
        <v>0</v>
      </c>
      <c r="E10" s="17" t="n">
        <v>0</v>
      </c>
      <c r="F10" s="17" t="n">
        <v>0</v>
      </c>
      <c r="G10" s="18" t="n">
        <v>1</v>
      </c>
      <c r="H10" s="19" t="n">
        <v>50000</v>
      </c>
      <c r="I10" s="19" t="n">
        <v>0</v>
      </c>
      <c r="J10" s="10" t="s">
        <v>90</v>
      </c>
    </row>
    <row r="11" customFormat="false" ht="64.5" hidden="false" customHeight="true" outlineLevel="0" collapsed="false">
      <c r="A11" s="16" t="n">
        <v>10</v>
      </c>
      <c r="B11" s="10" t="s">
        <v>99</v>
      </c>
      <c r="C11" s="17" t="n">
        <v>220</v>
      </c>
      <c r="D11" s="17" t="n">
        <v>0</v>
      </c>
      <c r="E11" s="17" t="n">
        <v>0</v>
      </c>
      <c r="F11" s="17" t="n">
        <v>0</v>
      </c>
      <c r="G11" s="18" t="n">
        <v>1</v>
      </c>
      <c r="H11" s="19" t="n">
        <v>60000</v>
      </c>
      <c r="I11" s="19" t="n">
        <v>0</v>
      </c>
      <c r="J11" s="10" t="s">
        <v>90</v>
      </c>
    </row>
    <row r="12" customFormat="false" ht="64.5" hidden="false" customHeight="true" outlineLevel="0" collapsed="false">
      <c r="A12" s="16" t="n">
        <v>11</v>
      </c>
      <c r="B12" s="10" t="s">
        <v>100</v>
      </c>
      <c r="C12" s="17" t="n">
        <v>240</v>
      </c>
      <c r="D12" s="17" t="n">
        <v>0</v>
      </c>
      <c r="E12" s="17" t="n">
        <v>0</v>
      </c>
      <c r="F12" s="17" t="n">
        <v>0</v>
      </c>
      <c r="G12" s="18" t="n">
        <v>1</v>
      </c>
      <c r="H12" s="19" t="n">
        <v>60000</v>
      </c>
      <c r="I12" s="19" t="n">
        <v>0</v>
      </c>
      <c r="J12" s="10" t="s">
        <v>90</v>
      </c>
    </row>
    <row r="13" customFormat="false" ht="64.5" hidden="false" customHeight="true" outlineLevel="0" collapsed="false">
      <c r="A13" s="16" t="n">
        <v>12</v>
      </c>
      <c r="B13" s="10" t="s">
        <v>101</v>
      </c>
      <c r="C13" s="17" t="n">
        <v>260</v>
      </c>
      <c r="D13" s="17" t="n">
        <v>0</v>
      </c>
      <c r="E13" s="17" t="n">
        <v>0</v>
      </c>
      <c r="F13" s="17" t="n">
        <v>0</v>
      </c>
      <c r="G13" s="18" t="n">
        <v>1</v>
      </c>
      <c r="H13" s="19" t="n">
        <v>60000</v>
      </c>
      <c r="I13" s="19" t="n">
        <v>0</v>
      </c>
      <c r="J13" s="10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9" min="2" style="0" width="14"/>
    <col collapsed="false" customWidth="true" hidden="false" outlineLevel="0" max="25" min="10" style="0" width="18"/>
  </cols>
  <sheetData>
    <row r="1" customFormat="false" ht="78" hidden="false" customHeight="true" outlineLevel="0" collapsed="false">
      <c r="A1" s="9" t="s">
        <v>102</v>
      </c>
      <c r="B1" s="9" t="s">
        <v>103</v>
      </c>
      <c r="C1" s="9" t="s">
        <v>104</v>
      </c>
      <c r="D1" s="9" t="s">
        <v>105</v>
      </c>
      <c r="E1" s="9" t="s">
        <v>106</v>
      </c>
      <c r="F1" s="9" t="s">
        <v>107</v>
      </c>
      <c r="G1" s="9" t="s">
        <v>108</v>
      </c>
      <c r="H1" s="9" t="s">
        <v>109</v>
      </c>
      <c r="I1" s="9" t="s">
        <v>110</v>
      </c>
      <c r="J1" s="9" t="s">
        <v>111</v>
      </c>
      <c r="K1" s="9" t="s">
        <v>112</v>
      </c>
      <c r="L1" s="9" t="s">
        <v>113</v>
      </c>
      <c r="M1" s="9" t="s">
        <v>114</v>
      </c>
      <c r="N1" s="9" t="s">
        <v>115</v>
      </c>
      <c r="O1" s="9" t="s">
        <v>116</v>
      </c>
      <c r="P1" s="9" t="s">
        <v>117</v>
      </c>
      <c r="Q1" s="9" t="s">
        <v>118</v>
      </c>
      <c r="R1" s="9" t="s">
        <v>119</v>
      </c>
      <c r="S1" s="9" t="s">
        <v>120</v>
      </c>
      <c r="T1" s="9" t="s">
        <v>121</v>
      </c>
      <c r="U1" s="9" t="s">
        <v>122</v>
      </c>
      <c r="V1" s="9" t="s">
        <v>123</v>
      </c>
      <c r="W1" s="9" t="s">
        <v>124</v>
      </c>
      <c r="X1" s="9" t="s">
        <v>125</v>
      </c>
      <c r="Y1" s="9" t="s">
        <v>126</v>
      </c>
    </row>
    <row r="2" customFormat="false" ht="37.5" hidden="false" customHeight="true" outlineLevel="0" collapsed="false">
      <c r="A2" s="20" t="n">
        <f aca="false">'План месяцев F1'!A2</f>
        <v>1</v>
      </c>
      <c r="B2" s="21" t="n">
        <f aca="false">'План месяцев F1'!C2</f>
        <v>40</v>
      </c>
      <c r="C2" s="21" t="n">
        <f aca="false">B2*'Допущения F1'!$B$4</f>
        <v>6</v>
      </c>
      <c r="D2" s="21" t="n">
        <f aca="false">C2*'Допущения F1'!$B$5</f>
        <v>2.4</v>
      </c>
      <c r="E2" s="21" t="n">
        <f aca="false">D2*'Допущения F1'!$B$6</f>
        <v>0.36</v>
      </c>
      <c r="F2" s="21" t="n">
        <f aca="false">'План месяцев F1'!D2</f>
        <v>0</v>
      </c>
      <c r="G2" s="21" t="n">
        <f aca="false">0*'Допущения F1'!$B$7</f>
        <v>0</v>
      </c>
      <c r="H2" s="21" t="n">
        <f aca="false">0-G2+E2+F2</f>
        <v>0.36</v>
      </c>
      <c r="I2" s="21" t="n">
        <f aca="false">(0+H2)/2</f>
        <v>0.18</v>
      </c>
      <c r="J2" s="20" t="n">
        <f aca="false">'Допущения F1'!$B$8</f>
        <v>9900</v>
      </c>
      <c r="K2" s="22" t="n">
        <f aca="false">H2*J2</f>
        <v>3564</v>
      </c>
      <c r="L2" s="20" t="n">
        <f aca="false">'План месяцев F1'!E2*'Допущения F1'!$B$17</f>
        <v>0</v>
      </c>
      <c r="M2" s="20" t="n">
        <f aca="false">'План месяцев F1'!F2*'Допущения F1'!$B$16</f>
        <v>0</v>
      </c>
      <c r="N2" s="20" t="n">
        <f aca="false">I2*J2+L2+M2</f>
        <v>1782</v>
      </c>
      <c r="O2" s="20" t="n">
        <f aca="false">(I2*'Допущения F1'!$B$9+'План месяцев F1'!F2)*('Допущения F1'!$B$10+'План месяцев F1'!G2*'Допущения F1'!$B$11*'Допущения F1'!$B$12)+F2*J2*'Допущения F1'!$B$15+L2*'План месяцев F1'!G2</f>
        <v>1350</v>
      </c>
      <c r="P2" s="20" t="n">
        <f aca="false">N2-O2</f>
        <v>432</v>
      </c>
      <c r="Q2" s="20" t="n">
        <f aca="false">'План месяцев F1'!H2+'Допущения F1'!$B$18</f>
        <v>30000</v>
      </c>
      <c r="R2" s="20" t="n">
        <f aca="false">U2*'Допущения F1'!$B$14</f>
        <v>53.46</v>
      </c>
      <c r="S2" s="20" t="n">
        <f aca="false">MAX(0,'Допущения F1'!$B$19-'Допущения F1'!$B$18)</f>
        <v>60000</v>
      </c>
      <c r="T2" s="20" t="n">
        <f aca="false">P2-Q2-R2-S2</f>
        <v>-89621.46</v>
      </c>
      <c r="U2" s="20" t="n">
        <f aca="false">N2*(1-'Допущения F1'!$B$13)+(0)*'Допущения F1'!$B$13</f>
        <v>891</v>
      </c>
      <c r="V2" s="20" t="n">
        <f aca="false">O2+Q2+R2</f>
        <v>31403.46</v>
      </c>
      <c r="W2" s="20" t="n">
        <f aca="false">'План месяцев F1'!I2</f>
        <v>0</v>
      </c>
      <c r="X2" s="23" t="n">
        <f aca="false">'Допущения F1'!$B$2-'Допущения F1'!$B$3+U2-V2+W2</f>
        <v>88487.54</v>
      </c>
      <c r="Y2" s="23" t="str">
        <f aca="false">IF(X2&lt;Q2*'Допущения F1'!$B$20,"НИЖЕ РЕЗЕРВА","РЕЗЕРВ ЕСТЬ")</f>
        <v>НИЖЕ РЕЗЕРВА</v>
      </c>
    </row>
    <row r="3" customFormat="false" ht="37.5" hidden="false" customHeight="true" outlineLevel="0" collapsed="false">
      <c r="A3" s="20" t="n">
        <f aca="false">'План месяцев F1'!A3</f>
        <v>2</v>
      </c>
      <c r="B3" s="21" t="n">
        <f aca="false">'План месяцев F1'!C3</f>
        <v>60</v>
      </c>
      <c r="C3" s="21" t="n">
        <f aca="false">B3*'Допущения F1'!$B$4</f>
        <v>9</v>
      </c>
      <c r="D3" s="21" t="n">
        <f aca="false">C3*'Допущения F1'!$B$5</f>
        <v>3.6</v>
      </c>
      <c r="E3" s="21" t="n">
        <f aca="false">D3*'Допущения F1'!$B$6</f>
        <v>0.54</v>
      </c>
      <c r="F3" s="21" t="n">
        <f aca="false">'План месяцев F1'!D3</f>
        <v>0</v>
      </c>
      <c r="G3" s="21" t="n">
        <f aca="false">H2*'Допущения F1'!$B$7</f>
        <v>0.0216</v>
      </c>
      <c r="H3" s="21" t="n">
        <f aca="false">H2-G3+E3+F3</f>
        <v>0.8784</v>
      </c>
      <c r="I3" s="21" t="n">
        <f aca="false">(H2+H3)/2</f>
        <v>0.6192</v>
      </c>
      <c r="J3" s="20" t="n">
        <f aca="false">'Допущения F1'!$B$8</f>
        <v>9900</v>
      </c>
      <c r="K3" s="22" t="n">
        <f aca="false">H3*J3</f>
        <v>8696.16</v>
      </c>
      <c r="L3" s="20" t="n">
        <f aca="false">'План месяцев F1'!E3*'Допущения F1'!$B$17</f>
        <v>0</v>
      </c>
      <c r="M3" s="20" t="n">
        <f aca="false">'План месяцев F1'!F3*'Допущения F1'!$B$16</f>
        <v>0</v>
      </c>
      <c r="N3" s="20" t="n">
        <f aca="false">I3*J3+L3+M3</f>
        <v>6130.08</v>
      </c>
      <c r="O3" s="20" t="n">
        <f aca="false">(I3*'Допущения F1'!$B$9+'План месяцев F1'!F3)*('Допущения F1'!$B$10+'План месяцев F1'!G3*'Допущения F1'!$B$11*'Допущения F1'!$B$12)+F3*J3*'Допущения F1'!$B$15+L3*'План месяцев F1'!G3</f>
        <v>4644</v>
      </c>
      <c r="P3" s="20" t="n">
        <f aca="false">N3-O3</f>
        <v>1486.08</v>
      </c>
      <c r="Q3" s="20" t="n">
        <f aca="false">'План месяцев F1'!H3+'Допущения F1'!$B$18</f>
        <v>30000</v>
      </c>
      <c r="R3" s="20" t="n">
        <f aca="false">U3*'Допущения F1'!$B$14</f>
        <v>237.3624</v>
      </c>
      <c r="S3" s="20" t="n">
        <f aca="false">MAX(0,'Допущения F1'!$B$19-'Допущения F1'!$B$18)</f>
        <v>60000</v>
      </c>
      <c r="T3" s="20" t="n">
        <f aca="false">P3-Q3-R3-S3</f>
        <v>-88751.2824</v>
      </c>
      <c r="U3" s="20" t="n">
        <f aca="false">N3*(1-'Допущения F1'!$B$13)+(N2)*'Допущения F1'!$B$13</f>
        <v>3956.04</v>
      </c>
      <c r="V3" s="20" t="n">
        <f aca="false">O3+Q3+R3</f>
        <v>34881.3624</v>
      </c>
      <c r="W3" s="20" t="n">
        <f aca="false">'План месяцев F1'!I3</f>
        <v>0</v>
      </c>
      <c r="X3" s="23" t="n">
        <f aca="false">X2+U3-V3+W3</f>
        <v>57562.2176</v>
      </c>
      <c r="Y3" s="23" t="str">
        <f aca="false">IF(X3&lt;Q3*'Допущения F1'!$B$20,"НИЖЕ РЕЗЕРВА","РЕЗЕРВ ЕСТЬ")</f>
        <v>НИЖЕ РЕЗЕРВА</v>
      </c>
    </row>
    <row r="4" customFormat="false" ht="37.5" hidden="false" customHeight="true" outlineLevel="0" collapsed="false">
      <c r="A4" s="20" t="n">
        <f aca="false">'План месяцев F1'!A4</f>
        <v>3</v>
      </c>
      <c r="B4" s="21" t="n">
        <f aca="false">'План месяцев F1'!C4</f>
        <v>80</v>
      </c>
      <c r="C4" s="21" t="n">
        <f aca="false">B4*'Допущения F1'!$B$4</f>
        <v>12</v>
      </c>
      <c r="D4" s="21" t="n">
        <f aca="false">C4*'Допущения F1'!$B$5</f>
        <v>4.8</v>
      </c>
      <c r="E4" s="21" t="n">
        <f aca="false">D4*'Допущения F1'!$B$6</f>
        <v>0.72</v>
      </c>
      <c r="F4" s="21" t="n">
        <f aca="false">'План месяцев F1'!D4</f>
        <v>0</v>
      </c>
      <c r="G4" s="21" t="n">
        <f aca="false">H3*'Допущения F1'!$B$7</f>
        <v>0.052704</v>
      </c>
      <c r="H4" s="21" t="n">
        <f aca="false">H3-G4+E4+F4</f>
        <v>1.545696</v>
      </c>
      <c r="I4" s="21" t="n">
        <f aca="false">(H3+H4)/2</f>
        <v>1.212048</v>
      </c>
      <c r="J4" s="20" t="n">
        <f aca="false">'Допущения F1'!$B$8</f>
        <v>9900</v>
      </c>
      <c r="K4" s="22" t="n">
        <f aca="false">H4*J4</f>
        <v>15302.3904</v>
      </c>
      <c r="L4" s="20" t="n">
        <f aca="false">'План месяцев F1'!E4*'Допущения F1'!$B$17</f>
        <v>0</v>
      </c>
      <c r="M4" s="20" t="n">
        <f aca="false">'План месяцев F1'!F4*'Допущения F1'!$B$16</f>
        <v>0</v>
      </c>
      <c r="N4" s="20" t="n">
        <f aca="false">I4*J4+L4+M4</f>
        <v>11999.2752</v>
      </c>
      <c r="O4" s="20" t="n">
        <f aca="false">(I4*'Допущения F1'!$B$9+'План месяцев F1'!F4)*('Допущения F1'!$B$10+'План месяцев F1'!G4*'Допущения F1'!$B$11*'Допущения F1'!$B$12)+F4*J4*'Допущения F1'!$B$15+L4*'План месяцев F1'!G4</f>
        <v>9090.36</v>
      </c>
      <c r="P4" s="20" t="n">
        <f aca="false">N4-O4</f>
        <v>2908.9152</v>
      </c>
      <c r="Q4" s="20" t="n">
        <f aca="false">'План месяцев F1'!H4+'Допущения F1'!$B$18</f>
        <v>30000</v>
      </c>
      <c r="R4" s="20" t="n">
        <f aca="false">U4*'Допущения F1'!$B$14</f>
        <v>543.880656</v>
      </c>
      <c r="S4" s="20" t="n">
        <f aca="false">MAX(0,'Допущения F1'!$B$19-'Допущения F1'!$B$18)</f>
        <v>60000</v>
      </c>
      <c r="T4" s="20" t="n">
        <f aca="false">P4-Q4-R4-S4</f>
        <v>-87634.965456</v>
      </c>
      <c r="U4" s="20" t="n">
        <f aca="false">N4*(1-'Допущения F1'!$B$13)+(N3)*'Допущения F1'!$B$13</f>
        <v>9064.6776</v>
      </c>
      <c r="V4" s="20" t="n">
        <f aca="false">O4+Q4+R4</f>
        <v>39634.240656</v>
      </c>
      <c r="W4" s="20" t="n">
        <f aca="false">'План месяцев F1'!I4</f>
        <v>0</v>
      </c>
      <c r="X4" s="23" t="n">
        <f aca="false">X3+U4-V4+W4</f>
        <v>26992.654544</v>
      </c>
      <c r="Y4" s="23" t="str">
        <f aca="false">IF(X4&lt;Q4*'Допущения F1'!$B$20,"НИЖЕ РЕЗЕРВА","РЕЗЕРВ ЕСТЬ")</f>
        <v>НИЖЕ РЕЗЕРВА</v>
      </c>
    </row>
    <row r="5" customFormat="false" ht="37.5" hidden="false" customHeight="true" outlineLevel="0" collapsed="false">
      <c r="A5" s="20" t="n">
        <f aca="false">'План месяцев F1'!A5</f>
        <v>4</v>
      </c>
      <c r="B5" s="21" t="n">
        <f aca="false">'План месяцев F1'!C5</f>
        <v>100</v>
      </c>
      <c r="C5" s="21" t="n">
        <f aca="false">B5*'Допущения F1'!$B$4</f>
        <v>15</v>
      </c>
      <c r="D5" s="21" t="n">
        <f aca="false">C5*'Допущения F1'!$B$5</f>
        <v>6</v>
      </c>
      <c r="E5" s="21" t="n">
        <f aca="false">D5*'Допущения F1'!$B$6</f>
        <v>0.9</v>
      </c>
      <c r="F5" s="21" t="n">
        <f aca="false">'План месяцев F1'!D5</f>
        <v>0</v>
      </c>
      <c r="G5" s="21" t="n">
        <f aca="false">H4*'Допущения F1'!$B$7</f>
        <v>0.09274176</v>
      </c>
      <c r="H5" s="21" t="n">
        <f aca="false">H4-G5+E5+F5</f>
        <v>2.35295424</v>
      </c>
      <c r="I5" s="21" t="n">
        <f aca="false">(H4+H5)/2</f>
        <v>1.94932512</v>
      </c>
      <c r="J5" s="20" t="n">
        <f aca="false">'Допущения F1'!$B$8</f>
        <v>9900</v>
      </c>
      <c r="K5" s="22" t="n">
        <f aca="false">H5*J5</f>
        <v>23294.246976</v>
      </c>
      <c r="L5" s="20" t="n">
        <f aca="false">'План месяцев F1'!E5*'Допущения F1'!$B$17</f>
        <v>0</v>
      </c>
      <c r="M5" s="20" t="n">
        <f aca="false">'План месяцев F1'!F5*'Допущения F1'!$B$16</f>
        <v>0</v>
      </c>
      <c r="N5" s="20" t="n">
        <f aca="false">I5*J5+L5+M5</f>
        <v>19298.318688</v>
      </c>
      <c r="O5" s="20" t="n">
        <f aca="false">(I5*'Допущения F1'!$B$9+'План месяцев F1'!F5)*('Допущения F1'!$B$10+'План месяцев F1'!G5*'Допущения F1'!$B$11*'Допущения F1'!$B$12)+F5*J5*'Допущения F1'!$B$15+L5*'План месяцев F1'!G5</f>
        <v>14619.9384</v>
      </c>
      <c r="P5" s="20" t="n">
        <f aca="false">N5-O5</f>
        <v>4678.380288</v>
      </c>
      <c r="Q5" s="20" t="n">
        <f aca="false">'План месяцев F1'!H5+'Допущения F1'!$B$18</f>
        <v>40000</v>
      </c>
      <c r="R5" s="20" t="n">
        <f aca="false">U5*'Допущения F1'!$B$14</f>
        <v>938.92781664</v>
      </c>
      <c r="S5" s="20" t="n">
        <f aca="false">MAX(0,'Допущения F1'!$B$19-'Допущения F1'!$B$18)</f>
        <v>60000</v>
      </c>
      <c r="T5" s="20" t="n">
        <f aca="false">P5-Q5-R5-S5</f>
        <v>-96260.54752864</v>
      </c>
      <c r="U5" s="20" t="n">
        <f aca="false">N5*(1-'Допущения F1'!$B$13)+(N4)*'Допущения F1'!$B$13</f>
        <v>15648.796944</v>
      </c>
      <c r="V5" s="20" t="n">
        <f aca="false">O5+Q5+R5</f>
        <v>55558.86621664</v>
      </c>
      <c r="W5" s="20" t="n">
        <f aca="false">'План месяцев F1'!I5</f>
        <v>0</v>
      </c>
      <c r="X5" s="23" t="n">
        <f aca="false">X4+U5-V5+W5</f>
        <v>-12917.41472864</v>
      </c>
      <c r="Y5" s="23" t="str">
        <f aca="false">IF(X5&lt;Q5*'Допущения F1'!$B$20,"НИЖЕ РЕЗЕРВА","РЕЗЕРВ ЕСТЬ")</f>
        <v>НИЖЕ РЕЗЕРВА</v>
      </c>
    </row>
    <row r="6" customFormat="false" ht="37.5" hidden="false" customHeight="true" outlineLevel="0" collapsed="false">
      <c r="A6" s="20" t="n">
        <f aca="false">'План месяцев F1'!A6</f>
        <v>5</v>
      </c>
      <c r="B6" s="21" t="n">
        <f aca="false">'План месяцев F1'!C6</f>
        <v>120</v>
      </c>
      <c r="C6" s="21" t="n">
        <f aca="false">B6*'Допущения F1'!$B$4</f>
        <v>18</v>
      </c>
      <c r="D6" s="21" t="n">
        <f aca="false">C6*'Допущения F1'!$B$5</f>
        <v>7.2</v>
      </c>
      <c r="E6" s="21" t="n">
        <f aca="false">D6*'Допущения F1'!$B$6</f>
        <v>1.08</v>
      </c>
      <c r="F6" s="21" t="n">
        <f aca="false">'План месяцев F1'!D6</f>
        <v>0</v>
      </c>
      <c r="G6" s="21" t="n">
        <f aca="false">H5*'Допущения F1'!$B$7</f>
        <v>0.1411772544</v>
      </c>
      <c r="H6" s="21" t="n">
        <f aca="false">H5-G6+E6+F6</f>
        <v>3.2917769856</v>
      </c>
      <c r="I6" s="21" t="n">
        <f aca="false">(H5+H6)/2</f>
        <v>2.8223656128</v>
      </c>
      <c r="J6" s="20" t="n">
        <f aca="false">'Допущения F1'!$B$8</f>
        <v>9900</v>
      </c>
      <c r="K6" s="22" t="n">
        <f aca="false">H6*J6</f>
        <v>32588.59215744</v>
      </c>
      <c r="L6" s="20" t="n">
        <f aca="false">'План месяцев F1'!E6*'Допущения F1'!$B$17</f>
        <v>0</v>
      </c>
      <c r="M6" s="20" t="n">
        <f aca="false">'План месяцев F1'!F6*'Допущения F1'!$B$16</f>
        <v>0</v>
      </c>
      <c r="N6" s="20" t="n">
        <f aca="false">I6*J6+L6+M6</f>
        <v>27941.41956672</v>
      </c>
      <c r="O6" s="20" t="n">
        <f aca="false">(I6*'Допущения F1'!$B$9+'План месяцев F1'!F6)*('Допущения F1'!$B$10+'План месяцев F1'!G6*'Допущения F1'!$B$11*'Допущения F1'!$B$12)+F6*J6*'Допущения F1'!$B$15+L6*'План месяцев F1'!G6</f>
        <v>21167.742096</v>
      </c>
      <c r="P6" s="20" t="n">
        <f aca="false">N6-O6</f>
        <v>6773.67747072</v>
      </c>
      <c r="Q6" s="20" t="n">
        <f aca="false">'План месяцев F1'!H6+'Допущения F1'!$B$18</f>
        <v>40000</v>
      </c>
      <c r="R6" s="20" t="n">
        <f aca="false">U6*'Допущения F1'!$B$14</f>
        <v>1417.1921476416</v>
      </c>
      <c r="S6" s="20" t="n">
        <f aca="false">MAX(0,'Допущения F1'!$B$19-'Допущения F1'!$B$18)</f>
        <v>60000</v>
      </c>
      <c r="T6" s="20" t="n">
        <f aca="false">P6-Q6-R6-S6</f>
        <v>-94643.5146769216</v>
      </c>
      <c r="U6" s="20" t="n">
        <f aca="false">N6*(1-'Допущения F1'!$B$13)+(N5)*'Допущения F1'!$B$13</f>
        <v>23619.86912736</v>
      </c>
      <c r="V6" s="20" t="n">
        <f aca="false">O6+Q6+R6</f>
        <v>62584.9342436416</v>
      </c>
      <c r="W6" s="20" t="n">
        <f aca="false">'План месяцев F1'!I6</f>
        <v>0</v>
      </c>
      <c r="X6" s="23" t="n">
        <f aca="false">X5+U6-V6+W6</f>
        <v>-51882.4798449216</v>
      </c>
      <c r="Y6" s="23" t="str">
        <f aca="false">IF(X6&lt;Q6*'Допущения F1'!$B$20,"НИЖЕ РЕЗЕРВА","РЕЗЕРВ ЕСТЬ")</f>
        <v>НИЖЕ РЕЗЕРВА</v>
      </c>
    </row>
    <row r="7" customFormat="false" ht="37.5" hidden="false" customHeight="true" outlineLevel="0" collapsed="false">
      <c r="A7" s="20" t="n">
        <f aca="false">'План месяцев F1'!A7</f>
        <v>6</v>
      </c>
      <c r="B7" s="21" t="n">
        <f aca="false">'План месяцев F1'!C7</f>
        <v>140</v>
      </c>
      <c r="C7" s="21" t="n">
        <f aca="false">B7*'Допущения F1'!$B$4</f>
        <v>21</v>
      </c>
      <c r="D7" s="21" t="n">
        <f aca="false">C7*'Допущения F1'!$B$5</f>
        <v>8.4</v>
      </c>
      <c r="E7" s="21" t="n">
        <f aca="false">D7*'Допущения F1'!$B$6</f>
        <v>1.26</v>
      </c>
      <c r="F7" s="21" t="n">
        <f aca="false">'План месяцев F1'!D7</f>
        <v>0</v>
      </c>
      <c r="G7" s="21" t="n">
        <f aca="false">H6*'Допущения F1'!$B$7</f>
        <v>0.197506619136</v>
      </c>
      <c r="H7" s="21" t="n">
        <f aca="false">H6-G7+E7+F7</f>
        <v>4.354270366464</v>
      </c>
      <c r="I7" s="21" t="n">
        <f aca="false">(H6+H7)/2</f>
        <v>3.823023676032</v>
      </c>
      <c r="J7" s="20" t="n">
        <f aca="false">'Допущения F1'!$B$8</f>
        <v>9900</v>
      </c>
      <c r="K7" s="22" t="n">
        <f aca="false">H7*J7</f>
        <v>43107.2766279936</v>
      </c>
      <c r="L7" s="20" t="n">
        <f aca="false">'План месяцев F1'!E7*'Допущения F1'!$B$17</f>
        <v>0</v>
      </c>
      <c r="M7" s="20" t="n">
        <f aca="false">'План месяцев F1'!F7*'Допущения F1'!$B$16</f>
        <v>0</v>
      </c>
      <c r="N7" s="20" t="n">
        <f aca="false">I7*J7+L7+M7</f>
        <v>37847.9343927168</v>
      </c>
      <c r="O7" s="20" t="n">
        <f aca="false">(I7*'Допущения F1'!$B$9+'План месяцев F1'!F7)*('Допущения F1'!$B$10+'План месяцев F1'!G7*'Допущения F1'!$B$11*'Допущения F1'!$B$12)+F7*J7*'Допущения F1'!$B$15+L7*'План месяцев F1'!G7</f>
        <v>28672.67757024</v>
      </c>
      <c r="P7" s="20" t="n">
        <f aca="false">N7-O7</f>
        <v>9175.2568224768</v>
      </c>
      <c r="Q7" s="20" t="n">
        <f aca="false">'План месяцев F1'!H7+'Допущения F1'!$B$18</f>
        <v>40000</v>
      </c>
      <c r="R7" s="20" t="n">
        <f aca="false">U7*'Допущения F1'!$B$14</f>
        <v>1973.6806187831</v>
      </c>
      <c r="S7" s="20" t="n">
        <f aca="false">MAX(0,'Допущения F1'!$B$19-'Допущения F1'!$B$18)</f>
        <v>60000</v>
      </c>
      <c r="T7" s="20" t="n">
        <f aca="false">P7-Q7-R7-S7</f>
        <v>-92798.4237963063</v>
      </c>
      <c r="U7" s="20" t="n">
        <f aca="false">N7*(1-'Допущения F1'!$B$13)+(N6)*'Допущения F1'!$B$13</f>
        <v>32894.6769797184</v>
      </c>
      <c r="V7" s="20" t="n">
        <f aca="false">O7+Q7+R7</f>
        <v>70646.3581890231</v>
      </c>
      <c r="W7" s="20" t="n">
        <f aca="false">'План месяцев F1'!I7</f>
        <v>0</v>
      </c>
      <c r="X7" s="23" t="n">
        <f aca="false">X6+U7-V7+W7</f>
        <v>-89634.1610542263</v>
      </c>
      <c r="Y7" s="23" t="str">
        <f aca="false">IF(X7&lt;Q7*'Допущения F1'!$B$20,"НИЖЕ РЕЗЕРВА","РЕЗЕРВ ЕСТЬ")</f>
        <v>НИЖЕ РЕЗЕРВА</v>
      </c>
    </row>
    <row r="8" customFormat="false" ht="37.5" hidden="false" customHeight="true" outlineLevel="0" collapsed="false">
      <c r="A8" s="20" t="n">
        <f aca="false">'План месяцев F1'!A8</f>
        <v>7</v>
      </c>
      <c r="B8" s="21" t="n">
        <f aca="false">'План месяцев F1'!C8</f>
        <v>160</v>
      </c>
      <c r="C8" s="21" t="n">
        <f aca="false">B8*'Допущения F1'!$B$4</f>
        <v>24</v>
      </c>
      <c r="D8" s="21" t="n">
        <f aca="false">C8*'Допущения F1'!$B$5</f>
        <v>9.6</v>
      </c>
      <c r="E8" s="21" t="n">
        <f aca="false">D8*'Допущения F1'!$B$6</f>
        <v>1.44</v>
      </c>
      <c r="F8" s="21" t="n">
        <f aca="false">'План месяцев F1'!D8</f>
        <v>0</v>
      </c>
      <c r="G8" s="21" t="n">
        <f aca="false">H7*'Допущения F1'!$B$7</f>
        <v>0.26125622198784</v>
      </c>
      <c r="H8" s="21" t="n">
        <f aca="false">H7-G8+E8+F8</f>
        <v>5.53301414447616</v>
      </c>
      <c r="I8" s="21" t="n">
        <f aca="false">(H7+H8)/2</f>
        <v>4.94364225547008</v>
      </c>
      <c r="J8" s="20" t="n">
        <f aca="false">'Допущения F1'!$B$8</f>
        <v>9900</v>
      </c>
      <c r="K8" s="22" t="n">
        <f aca="false">H8*J8</f>
        <v>54776.840030314</v>
      </c>
      <c r="L8" s="20" t="n">
        <f aca="false">'План месяцев F1'!E8*'Допущения F1'!$B$17</f>
        <v>0</v>
      </c>
      <c r="M8" s="20" t="n">
        <f aca="false">'План месяцев F1'!F8*'Допущения F1'!$B$16</f>
        <v>0</v>
      </c>
      <c r="N8" s="20" t="n">
        <f aca="false">I8*J8+L8+M8</f>
        <v>48942.0583291538</v>
      </c>
      <c r="O8" s="20" t="n">
        <f aca="false">(I8*'Допущения F1'!$B$9+'План месяцев F1'!F8)*('Допущения F1'!$B$10+'План месяцев F1'!G8*'Допущения F1'!$B$11*'Допущения F1'!$B$12)+F8*J8*'Допущения F1'!$B$15+L8*'План месяцев F1'!G8</f>
        <v>37077.3169160256</v>
      </c>
      <c r="P8" s="20" t="n">
        <f aca="false">N8-O8</f>
        <v>11864.7414131282</v>
      </c>
      <c r="Q8" s="20" t="n">
        <f aca="false">'План месяцев F1'!H8+'Допущения F1'!$B$18</f>
        <v>50000</v>
      </c>
      <c r="R8" s="20" t="n">
        <f aca="false">U8*'Допущения F1'!$B$14</f>
        <v>2603.69978165612</v>
      </c>
      <c r="S8" s="20" t="n">
        <f aca="false">MAX(0,'Допущения F1'!$B$19-'Допущения F1'!$B$18)</f>
        <v>60000</v>
      </c>
      <c r="T8" s="20" t="n">
        <f aca="false">P8-Q8-R8-S8</f>
        <v>-100738.958368528</v>
      </c>
      <c r="U8" s="20" t="n">
        <f aca="false">N8*(1-'Допущения F1'!$B$13)+(N7)*'Допущения F1'!$B$13</f>
        <v>43394.9963609353</v>
      </c>
      <c r="V8" s="20" t="n">
        <f aca="false">O8+Q8+R8</f>
        <v>89681.0166976817</v>
      </c>
      <c r="W8" s="20" t="n">
        <f aca="false">'План месяцев F1'!I8</f>
        <v>0</v>
      </c>
      <c r="X8" s="23" t="n">
        <f aca="false">X7+U8-V8+W8</f>
        <v>-135920.181390973</v>
      </c>
      <c r="Y8" s="23" t="str">
        <f aca="false">IF(X8&lt;Q8*'Допущения F1'!$B$20,"НИЖЕ РЕЗЕРВА","РЕЗЕРВ ЕСТЬ")</f>
        <v>НИЖЕ РЕЗЕРВА</v>
      </c>
    </row>
    <row r="9" customFormat="false" ht="37.5" hidden="false" customHeight="true" outlineLevel="0" collapsed="false">
      <c r="A9" s="20" t="n">
        <f aca="false">'План месяцев F1'!A9</f>
        <v>8</v>
      </c>
      <c r="B9" s="21" t="n">
        <f aca="false">'План месяцев F1'!C9</f>
        <v>180</v>
      </c>
      <c r="C9" s="21" t="n">
        <f aca="false">B9*'Допущения F1'!$B$4</f>
        <v>27</v>
      </c>
      <c r="D9" s="21" t="n">
        <f aca="false">C9*'Допущения F1'!$B$5</f>
        <v>10.8</v>
      </c>
      <c r="E9" s="21" t="n">
        <f aca="false">D9*'Допущения F1'!$B$6</f>
        <v>1.62</v>
      </c>
      <c r="F9" s="21" t="n">
        <f aca="false">'План месяцев F1'!D9</f>
        <v>0</v>
      </c>
      <c r="G9" s="21" t="n">
        <f aca="false">H8*'Допущения F1'!$B$7</f>
        <v>0.33198084866857</v>
      </c>
      <c r="H9" s="21" t="n">
        <f aca="false">H8-G9+E9+F9</f>
        <v>6.82103329580759</v>
      </c>
      <c r="I9" s="21" t="n">
        <f aca="false">(H8+H9)/2</f>
        <v>6.17702372014188</v>
      </c>
      <c r="J9" s="20" t="n">
        <f aca="false">'Допущения F1'!$B$8</f>
        <v>9900</v>
      </c>
      <c r="K9" s="22" t="n">
        <f aca="false">H9*J9</f>
        <v>67528.2296284951</v>
      </c>
      <c r="L9" s="20" t="n">
        <f aca="false">'План месяцев F1'!E9*'Допущения F1'!$B$17</f>
        <v>0</v>
      </c>
      <c r="M9" s="20" t="n">
        <f aca="false">'План месяцев F1'!F9*'Допущения F1'!$B$16</f>
        <v>0</v>
      </c>
      <c r="N9" s="20" t="n">
        <f aca="false">I9*J9+L9+M9</f>
        <v>61152.5348294046</v>
      </c>
      <c r="O9" s="20" t="n">
        <f aca="false">(I9*'Допущения F1'!$B$9+'План месяцев F1'!F9)*('Допущения F1'!$B$10+'План месяцев F1'!G9*'Допущения F1'!$B$11*'Допущения F1'!$B$12)+F9*J9*'Допущения F1'!$B$15+L9*'План месяцев F1'!G9</f>
        <v>46327.6779010641</v>
      </c>
      <c r="P9" s="20" t="n">
        <f aca="false">N9-O9</f>
        <v>14824.8569283405</v>
      </c>
      <c r="Q9" s="20" t="n">
        <f aca="false">'План месяцев F1'!H9+'Допущения F1'!$B$18</f>
        <v>50000</v>
      </c>
      <c r="R9" s="20" t="n">
        <f aca="false">U9*'Допущения F1'!$B$14</f>
        <v>3302.83779475675</v>
      </c>
      <c r="S9" s="20" t="n">
        <f aca="false">MAX(0,'Допущения F1'!$B$19-'Допущения F1'!$B$18)</f>
        <v>60000</v>
      </c>
      <c r="T9" s="20" t="n">
        <f aca="false">P9-Q9-R9-S9</f>
        <v>-98477.9808664162</v>
      </c>
      <c r="U9" s="20" t="n">
        <f aca="false">N9*(1-'Допущения F1'!$B$13)+(N8)*'Допущения F1'!$B$13</f>
        <v>55047.2965792792</v>
      </c>
      <c r="V9" s="20" t="n">
        <f aca="false">O9+Q9+R9</f>
        <v>99630.5156958208</v>
      </c>
      <c r="W9" s="20" t="n">
        <f aca="false">'План месяцев F1'!I9</f>
        <v>0</v>
      </c>
      <c r="X9" s="23" t="n">
        <f aca="false">X8+U9-V9+W9</f>
        <v>-180503.400507514</v>
      </c>
      <c r="Y9" s="23" t="str">
        <f aca="false">IF(X9&lt;Q9*'Допущения F1'!$B$20,"НИЖЕ РЕЗЕРВА","РЕЗЕРВ ЕСТЬ")</f>
        <v>НИЖЕ РЕЗЕРВА</v>
      </c>
    </row>
    <row r="10" customFormat="false" ht="37.5" hidden="false" customHeight="true" outlineLevel="0" collapsed="false">
      <c r="A10" s="20" t="n">
        <f aca="false">'План месяцев F1'!A10</f>
        <v>9</v>
      </c>
      <c r="B10" s="21" t="n">
        <f aca="false">'План месяцев F1'!C10</f>
        <v>200</v>
      </c>
      <c r="C10" s="21" t="n">
        <f aca="false">B10*'Допущения F1'!$B$4</f>
        <v>30</v>
      </c>
      <c r="D10" s="21" t="n">
        <f aca="false">C10*'Допущения F1'!$B$5</f>
        <v>12</v>
      </c>
      <c r="E10" s="21" t="n">
        <f aca="false">D10*'Допущения F1'!$B$6</f>
        <v>1.8</v>
      </c>
      <c r="F10" s="21" t="n">
        <f aca="false">'План месяцев F1'!D10</f>
        <v>0</v>
      </c>
      <c r="G10" s="21" t="n">
        <f aca="false">H9*'Допущения F1'!$B$7</f>
        <v>0.409261997748455</v>
      </c>
      <c r="H10" s="21" t="n">
        <f aca="false">H9-G10+E10+F10</f>
        <v>8.21177129805914</v>
      </c>
      <c r="I10" s="21" t="n">
        <f aca="false">(H9+H10)/2</f>
        <v>7.51640229693336</v>
      </c>
      <c r="J10" s="20" t="n">
        <f aca="false">'Допущения F1'!$B$8</f>
        <v>9900</v>
      </c>
      <c r="K10" s="22" t="n">
        <f aca="false">H10*J10</f>
        <v>81296.5358507854</v>
      </c>
      <c r="L10" s="20" t="n">
        <f aca="false">'План месяцев F1'!E10*'Допущения F1'!$B$17</f>
        <v>0</v>
      </c>
      <c r="M10" s="20" t="n">
        <f aca="false">'План месяцев F1'!F10*'Допущения F1'!$B$16</f>
        <v>0</v>
      </c>
      <c r="N10" s="20" t="n">
        <f aca="false">I10*J10+L10+M10</f>
        <v>74412.3827396403</v>
      </c>
      <c r="O10" s="20" t="n">
        <f aca="false">(I10*'Допущения F1'!$B$9+'План месяцев F1'!F10)*('Допущения F1'!$B$10+'План месяцев F1'!G10*'Допущения F1'!$B$11*'Допущения F1'!$B$12)+F10*J10*'Допущения F1'!$B$15+L10*'План месяцев F1'!G10</f>
        <v>56373.0172270002</v>
      </c>
      <c r="P10" s="20" t="n">
        <f aca="false">N10-O10</f>
        <v>18039.3655126401</v>
      </c>
      <c r="Q10" s="20" t="n">
        <f aca="false">'План месяцев F1'!H10+'Допущения F1'!$B$18</f>
        <v>50000</v>
      </c>
      <c r="R10" s="20" t="n">
        <f aca="false">U10*'Допущения F1'!$B$14</f>
        <v>4066.94752707135</v>
      </c>
      <c r="S10" s="20" t="n">
        <f aca="false">MAX(0,'Допущения F1'!$B$19-'Допущения F1'!$B$18)</f>
        <v>60000</v>
      </c>
      <c r="T10" s="20" t="n">
        <f aca="false">P10-Q10-R10-S10</f>
        <v>-96027.5820144313</v>
      </c>
      <c r="U10" s="20" t="n">
        <f aca="false">N10*(1-'Допущения F1'!$B$13)+(N9)*'Допущения F1'!$B$13</f>
        <v>67782.4587845224</v>
      </c>
      <c r="V10" s="20" t="n">
        <f aca="false">O10+Q10+R10</f>
        <v>110439.964754072</v>
      </c>
      <c r="W10" s="20" t="n">
        <f aca="false">'План месяцев F1'!I10</f>
        <v>0</v>
      </c>
      <c r="X10" s="23" t="n">
        <f aca="false">X9+U10-V10+W10</f>
        <v>-223160.906477064</v>
      </c>
      <c r="Y10" s="23" t="str">
        <f aca="false">IF(X10&lt;Q10*'Допущения F1'!$B$20,"НИЖЕ РЕЗЕРВА","РЕЗЕРВ ЕСТЬ")</f>
        <v>НИЖЕ РЕЗЕРВА</v>
      </c>
    </row>
    <row r="11" customFormat="false" ht="37.5" hidden="false" customHeight="true" outlineLevel="0" collapsed="false">
      <c r="A11" s="20" t="n">
        <f aca="false">'План месяцев F1'!A11</f>
        <v>10</v>
      </c>
      <c r="B11" s="21" t="n">
        <f aca="false">'План месяцев F1'!C11</f>
        <v>220</v>
      </c>
      <c r="C11" s="21" t="n">
        <f aca="false">B11*'Допущения F1'!$B$4</f>
        <v>33</v>
      </c>
      <c r="D11" s="21" t="n">
        <f aca="false">C11*'Допущения F1'!$B$5</f>
        <v>13.2</v>
      </c>
      <c r="E11" s="21" t="n">
        <f aca="false">D11*'Допущения F1'!$B$6</f>
        <v>1.98</v>
      </c>
      <c r="F11" s="21" t="n">
        <f aca="false">'План месяцев F1'!D11</f>
        <v>0</v>
      </c>
      <c r="G11" s="21" t="n">
        <f aca="false">H10*'Допущения F1'!$B$7</f>
        <v>0.492706277883548</v>
      </c>
      <c r="H11" s="21" t="n">
        <f aca="false">H10-G11+E11+F11</f>
        <v>9.69906502017559</v>
      </c>
      <c r="I11" s="21" t="n">
        <f aca="false">(H10+H11)/2</f>
        <v>8.95541815911736</v>
      </c>
      <c r="J11" s="20" t="n">
        <f aca="false">'Допущения F1'!$B$8</f>
        <v>9900</v>
      </c>
      <c r="K11" s="22" t="n">
        <f aca="false">H11*J11</f>
        <v>96020.7436997383</v>
      </c>
      <c r="L11" s="20" t="n">
        <f aca="false">'План месяцев F1'!E11*'Допущения F1'!$B$17</f>
        <v>0</v>
      </c>
      <c r="M11" s="20" t="n">
        <f aca="false">'План месяцев F1'!F11*'Допущения F1'!$B$16</f>
        <v>0</v>
      </c>
      <c r="N11" s="20" t="n">
        <f aca="false">I11*J11+L11+M11</f>
        <v>88658.6397752619</v>
      </c>
      <c r="O11" s="20" t="n">
        <f aca="false">(I11*'Допущения F1'!$B$9+'План месяцев F1'!F11)*('Допущения F1'!$B$10+'План месяцев F1'!G11*'Допущения F1'!$B$11*'Допущения F1'!$B$12)+F11*J11*'Допущения F1'!$B$15+L11*'План месяцев F1'!G11</f>
        <v>67165.6361933802</v>
      </c>
      <c r="P11" s="20" t="n">
        <f aca="false">N11-O11</f>
        <v>21493.0035818817</v>
      </c>
      <c r="Q11" s="20" t="n">
        <f aca="false">'План месяцев F1'!H11+'Допущения F1'!$B$18</f>
        <v>60000</v>
      </c>
      <c r="R11" s="20" t="n">
        <f aca="false">U11*'Допущения F1'!$B$14</f>
        <v>4892.13067544707</v>
      </c>
      <c r="S11" s="20" t="n">
        <f aca="false">MAX(0,'Допущения F1'!$B$19-'Допущения F1'!$B$18)</f>
        <v>60000</v>
      </c>
      <c r="T11" s="20" t="n">
        <f aca="false">P11-Q11-R11-S11</f>
        <v>-103399.127093565</v>
      </c>
      <c r="U11" s="20" t="n">
        <f aca="false">N11*(1-'Допущения F1'!$B$13)+(N10)*'Допущения F1'!$B$13</f>
        <v>81535.5112574511</v>
      </c>
      <c r="V11" s="20" t="n">
        <f aca="false">O11+Q11+R11</f>
        <v>132057.766868827</v>
      </c>
      <c r="W11" s="20" t="n">
        <f aca="false">'План месяцев F1'!I11</f>
        <v>0</v>
      </c>
      <c r="X11" s="23" t="n">
        <f aca="false">X10+U11-V11+W11</f>
        <v>-273683.16208844</v>
      </c>
      <c r="Y11" s="23" t="str">
        <f aca="false">IF(X11&lt;Q11*'Допущения F1'!$B$20,"НИЖЕ РЕЗЕРВА","РЕЗЕРВ ЕСТЬ")</f>
        <v>НИЖЕ РЕЗЕРВА</v>
      </c>
    </row>
    <row r="12" customFormat="false" ht="37.5" hidden="false" customHeight="true" outlineLevel="0" collapsed="false">
      <c r="A12" s="20" t="n">
        <f aca="false">'План месяцев F1'!A12</f>
        <v>11</v>
      </c>
      <c r="B12" s="21" t="n">
        <f aca="false">'План месяцев F1'!C12</f>
        <v>240</v>
      </c>
      <c r="C12" s="21" t="n">
        <f aca="false">B12*'Допущения F1'!$B$4</f>
        <v>36</v>
      </c>
      <c r="D12" s="21" t="n">
        <f aca="false">C12*'Допущения F1'!$B$5</f>
        <v>14.4</v>
      </c>
      <c r="E12" s="21" t="n">
        <f aca="false">D12*'Допущения F1'!$B$6</f>
        <v>2.16</v>
      </c>
      <c r="F12" s="21" t="n">
        <f aca="false">'План месяцев F1'!D12</f>
        <v>0</v>
      </c>
      <c r="G12" s="21" t="n">
        <f aca="false">H11*'Допущения F1'!$B$7</f>
        <v>0.581943901210535</v>
      </c>
      <c r="H12" s="21" t="n">
        <f aca="false">H11-G12+E12+F12</f>
        <v>11.2771211189651</v>
      </c>
      <c r="I12" s="21" t="n">
        <f aca="false">(H11+H12)/2</f>
        <v>10.4880930695703</v>
      </c>
      <c r="J12" s="20" t="n">
        <f aca="false">'Допущения F1'!$B$8</f>
        <v>9900</v>
      </c>
      <c r="K12" s="22" t="n">
        <f aca="false">H12*J12</f>
        <v>111643.499077754</v>
      </c>
      <c r="L12" s="20" t="n">
        <f aca="false">'План месяцев F1'!E12*'Допущения F1'!$B$17</f>
        <v>0</v>
      </c>
      <c r="M12" s="20" t="n">
        <f aca="false">'План месяцев F1'!F12*'Допущения F1'!$B$16</f>
        <v>0</v>
      </c>
      <c r="N12" s="20" t="n">
        <f aca="false">I12*J12+L12+M12</f>
        <v>103832.121388746</v>
      </c>
      <c r="O12" s="20" t="n">
        <f aca="false">(I12*'Допущения F1'!$B$9+'План месяцев F1'!F12)*('Допущения F1'!$B$10+'План месяцев F1'!G12*'Допущения F1'!$B$11*'Допущения F1'!$B$12)+F12*J12*'Допущения F1'!$B$15+L12*'План месяцев F1'!G12</f>
        <v>78660.6980217774</v>
      </c>
      <c r="P12" s="20" t="n">
        <f aca="false">N12-O12</f>
        <v>25171.4233669688</v>
      </c>
      <c r="Q12" s="20" t="n">
        <f aca="false">'План месяцев F1'!H12+'Допущения F1'!$B$18</f>
        <v>60000</v>
      </c>
      <c r="R12" s="20" t="n">
        <f aca="false">U12*'Допущения F1'!$B$14</f>
        <v>5774.72283492024</v>
      </c>
      <c r="S12" s="20" t="n">
        <f aca="false">MAX(0,'Допущения F1'!$B$19-'Допущения F1'!$B$18)</f>
        <v>60000</v>
      </c>
      <c r="T12" s="20" t="n">
        <f aca="false">P12-Q12-R12-S12</f>
        <v>-100603.299467951</v>
      </c>
      <c r="U12" s="20" t="n">
        <f aca="false">N12*(1-'Допущения F1'!$B$13)+(N11)*'Допущения F1'!$B$13</f>
        <v>96245.380582004</v>
      </c>
      <c r="V12" s="20" t="n">
        <f aca="false">O12+Q12+R12</f>
        <v>144435.420856698</v>
      </c>
      <c r="W12" s="20" t="n">
        <f aca="false">'План месяцев F1'!I12</f>
        <v>0</v>
      </c>
      <c r="X12" s="23" t="n">
        <f aca="false">X11+U12-V12+W12</f>
        <v>-321873.202363133</v>
      </c>
      <c r="Y12" s="23" t="str">
        <f aca="false">IF(X12&lt;Q12*'Допущения F1'!$B$20,"НИЖЕ РЕЗЕРВА","РЕЗЕРВ ЕСТЬ")</f>
        <v>НИЖЕ РЕЗЕРВА</v>
      </c>
    </row>
    <row r="13" customFormat="false" ht="37.5" hidden="false" customHeight="true" outlineLevel="0" collapsed="false">
      <c r="A13" s="20" t="n">
        <f aca="false">'План месяцев F1'!A13</f>
        <v>12</v>
      </c>
      <c r="B13" s="21" t="n">
        <f aca="false">'План месяцев F1'!C13</f>
        <v>260</v>
      </c>
      <c r="C13" s="21" t="n">
        <f aca="false">B13*'Допущения F1'!$B$4</f>
        <v>39</v>
      </c>
      <c r="D13" s="21" t="n">
        <f aca="false">C13*'Допущения F1'!$B$5</f>
        <v>15.6</v>
      </c>
      <c r="E13" s="21" t="n">
        <f aca="false">D13*'Допущения F1'!$B$6</f>
        <v>2.34</v>
      </c>
      <c r="F13" s="21" t="n">
        <f aca="false">'План месяцев F1'!D13</f>
        <v>0</v>
      </c>
      <c r="G13" s="21" t="n">
        <f aca="false">H12*'Допущения F1'!$B$7</f>
        <v>0.676627267137903</v>
      </c>
      <c r="H13" s="21" t="n">
        <f aca="false">H12-G13+E13+F13</f>
        <v>12.9404938518272</v>
      </c>
      <c r="I13" s="21" t="n">
        <f aca="false">(H12+H13)/2</f>
        <v>12.1088074853961</v>
      </c>
      <c r="J13" s="20" t="n">
        <f aca="false">'Допущения F1'!$B$8</f>
        <v>9900</v>
      </c>
      <c r="K13" s="22" t="n">
        <f aca="false">H13*J13</f>
        <v>128110.889133089</v>
      </c>
      <c r="L13" s="20" t="n">
        <f aca="false">'План месяцев F1'!E13*'Допущения F1'!$B$17</f>
        <v>0</v>
      </c>
      <c r="M13" s="20" t="n">
        <f aca="false">'План месяцев F1'!F13*'Допущения F1'!$B$16</f>
        <v>0</v>
      </c>
      <c r="N13" s="20" t="n">
        <f aca="false">I13*J13+L13+M13</f>
        <v>119877.194105421</v>
      </c>
      <c r="O13" s="20" t="n">
        <f aca="false">(I13*'Допущения F1'!$B$9+'План месяцев F1'!F13)*('Допущения F1'!$B$10+'План месяцев F1'!G13*'Допущения F1'!$B$11*'Допущения F1'!$B$12)+F13*J13*'Допущения F1'!$B$15+L13*'План месяцев F1'!G13</f>
        <v>90816.0561404708</v>
      </c>
      <c r="P13" s="20" t="n">
        <f aca="false">N13-O13</f>
        <v>29061.1379649506</v>
      </c>
      <c r="Q13" s="20" t="n">
        <f aca="false">'План месяцев F1'!H13+'Допущения F1'!$B$18</f>
        <v>60000</v>
      </c>
      <c r="R13" s="20" t="n">
        <f aca="false">U13*'Допущения F1'!$B$14</f>
        <v>6711.27946482503</v>
      </c>
      <c r="S13" s="20" t="n">
        <f aca="false">MAX(0,'Допущения F1'!$B$19-'Допущения F1'!$B$18)</f>
        <v>60000</v>
      </c>
      <c r="T13" s="20" t="n">
        <f aca="false">P13-Q13-R13-S13</f>
        <v>-97650.1414998744</v>
      </c>
      <c r="U13" s="20" t="n">
        <f aca="false">N13*(1-'Допущения F1'!$B$13)+(N12)*'Допущения F1'!$B$13</f>
        <v>111854.657747084</v>
      </c>
      <c r="V13" s="20" t="n">
        <f aca="false">O13+Q13+R13</f>
        <v>157527.335605296</v>
      </c>
      <c r="W13" s="20" t="n">
        <f aca="false">'План месяцев F1'!I13</f>
        <v>0</v>
      </c>
      <c r="X13" s="23" t="n">
        <f aca="false">X12+U13-V13+W13</f>
        <v>-367545.880221345</v>
      </c>
      <c r="Y13" s="23" t="str">
        <f aca="false">IF(X13&lt;Q13*'Допущения F1'!$B$20,"НИЖЕ РЕЗЕРВА","РЕЗЕРВ ЕСТЬ")</f>
        <v>НИЖЕ РЕЗЕРВА</v>
      </c>
    </row>
  </sheetData>
  <conditionalFormatting sqref="X2:X13">
    <cfRule type="cellIs" priority="2" operator="less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9" min="2" style="0" width="14"/>
    <col collapsed="false" customWidth="true" hidden="false" outlineLevel="0" max="25" min="10" style="0" width="18"/>
  </cols>
  <sheetData>
    <row r="1" customFormat="false" ht="78" hidden="false" customHeight="true" outlineLevel="0" collapsed="false">
      <c r="A1" s="9" t="s">
        <v>102</v>
      </c>
      <c r="B1" s="9" t="s">
        <v>103</v>
      </c>
      <c r="C1" s="9" t="s">
        <v>104</v>
      </c>
      <c r="D1" s="9" t="s">
        <v>105</v>
      </c>
      <c r="E1" s="9" t="s">
        <v>106</v>
      </c>
      <c r="F1" s="9" t="s">
        <v>107</v>
      </c>
      <c r="G1" s="9" t="s">
        <v>108</v>
      </c>
      <c r="H1" s="9" t="s">
        <v>109</v>
      </c>
      <c r="I1" s="9" t="s">
        <v>110</v>
      </c>
      <c r="J1" s="9" t="s">
        <v>111</v>
      </c>
      <c r="K1" s="9" t="s">
        <v>112</v>
      </c>
      <c r="L1" s="9" t="s">
        <v>113</v>
      </c>
      <c r="M1" s="9" t="s">
        <v>114</v>
      </c>
      <c r="N1" s="9" t="s">
        <v>115</v>
      </c>
      <c r="O1" s="9" t="s">
        <v>116</v>
      </c>
      <c r="P1" s="9" t="s">
        <v>117</v>
      </c>
      <c r="Q1" s="9" t="s">
        <v>118</v>
      </c>
      <c r="R1" s="9" t="s">
        <v>119</v>
      </c>
      <c r="S1" s="9" t="s">
        <v>120</v>
      </c>
      <c r="T1" s="9" t="s">
        <v>121</v>
      </c>
      <c r="U1" s="9" t="s">
        <v>122</v>
      </c>
      <c r="V1" s="9" t="s">
        <v>123</v>
      </c>
      <c r="W1" s="9" t="s">
        <v>124</v>
      </c>
      <c r="X1" s="9" t="s">
        <v>125</v>
      </c>
      <c r="Y1" s="9" t="s">
        <v>126</v>
      </c>
    </row>
    <row r="2" customFormat="false" ht="37.5" hidden="false" customHeight="true" outlineLevel="0" collapsed="false">
      <c r="A2" s="20" t="n">
        <f aca="false">'План месяцев F1'!A2</f>
        <v>1</v>
      </c>
      <c r="B2" s="21" t="n">
        <f aca="false">'План месяцев F1'!C2</f>
        <v>40</v>
      </c>
      <c r="C2" s="21" t="n">
        <f aca="false">B2*'Допущения F1'!$C$4</f>
        <v>10</v>
      </c>
      <c r="D2" s="21" t="n">
        <f aca="false">C2*'Допущения F1'!$C$5</f>
        <v>5</v>
      </c>
      <c r="E2" s="21" t="n">
        <f aca="false">D2*'Допущения F1'!$C$6</f>
        <v>1.25</v>
      </c>
      <c r="F2" s="21" t="n">
        <f aca="false">'План месяцев F1'!D2</f>
        <v>0</v>
      </c>
      <c r="G2" s="21" t="n">
        <f aca="false">0*'Допущения F1'!$C$7</f>
        <v>0</v>
      </c>
      <c r="H2" s="21" t="n">
        <f aca="false">0-G2+E2+F2</f>
        <v>1.25</v>
      </c>
      <c r="I2" s="21" t="n">
        <f aca="false">(0+H2)/2</f>
        <v>0.625</v>
      </c>
      <c r="J2" s="20" t="n">
        <f aca="false">'Допущения F1'!$C$8</f>
        <v>14900</v>
      </c>
      <c r="K2" s="22" t="n">
        <f aca="false">H2*J2</f>
        <v>18625</v>
      </c>
      <c r="L2" s="20" t="n">
        <f aca="false">'План месяцев F1'!E2*'Допущения F1'!$C$17</f>
        <v>0</v>
      </c>
      <c r="M2" s="20" t="n">
        <f aca="false">'План месяцев F1'!F2*'Допущения F1'!$C$16</f>
        <v>0</v>
      </c>
      <c r="N2" s="20" t="n">
        <f aca="false">I2*J2+L2+M2</f>
        <v>9312.5</v>
      </c>
      <c r="O2" s="20" t="n">
        <f aca="false">(I2*'Допущения F1'!$C$9+'План месяцев F1'!F2)*('Допущения F1'!$C$10+'План месяцев F1'!G2*'Допущения F1'!$C$11*'Допущения F1'!$C$12)+F2*J2*'Допущения F1'!$C$15+L2*'План месяцев F1'!G2</f>
        <v>4687.5</v>
      </c>
      <c r="P2" s="20" t="n">
        <f aca="false">N2-O2</f>
        <v>4625</v>
      </c>
      <c r="Q2" s="20" t="n">
        <f aca="false">'План месяцев F1'!H2+'Допущения F1'!$C$18</f>
        <v>30000</v>
      </c>
      <c r="R2" s="20" t="n">
        <f aca="false">U2*'Допущения F1'!$C$14</f>
        <v>391.125</v>
      </c>
      <c r="S2" s="20" t="n">
        <f aca="false">MAX(0,'Допущения F1'!$C$19-'Допущения F1'!$C$18)</f>
        <v>60000</v>
      </c>
      <c r="T2" s="20" t="n">
        <f aca="false">P2-Q2-R2-S2</f>
        <v>-85766.125</v>
      </c>
      <c r="U2" s="20" t="n">
        <f aca="false">N2*(1-'Допущения F1'!$C$13)+(0)*'Допущения F1'!$C$13</f>
        <v>6518.75</v>
      </c>
      <c r="V2" s="20" t="n">
        <f aca="false">O2+Q2+R2</f>
        <v>35078.625</v>
      </c>
      <c r="W2" s="20" t="n">
        <f aca="false">'План месяцев F1'!I2</f>
        <v>0</v>
      </c>
      <c r="X2" s="23" t="n">
        <f aca="false">'Допущения F1'!$C$2-'Допущения F1'!$C$3+U2-V2+W2</f>
        <v>90440.125</v>
      </c>
      <c r="Y2" s="23" t="str">
        <f aca="false">IF(X2&lt;Q2*'Допущения F1'!$C$20,"НИЖЕ РЕЗЕРВА","РЕЗЕРВ ЕСТЬ")</f>
        <v>РЕЗЕРВ ЕСТЬ</v>
      </c>
    </row>
    <row r="3" customFormat="false" ht="37.5" hidden="false" customHeight="true" outlineLevel="0" collapsed="false">
      <c r="A3" s="20" t="n">
        <f aca="false">'План месяцев F1'!A3</f>
        <v>2</v>
      </c>
      <c r="B3" s="21" t="n">
        <f aca="false">'План месяцев F1'!C3</f>
        <v>60</v>
      </c>
      <c r="C3" s="21" t="n">
        <f aca="false">B3*'Допущения F1'!$C$4</f>
        <v>15</v>
      </c>
      <c r="D3" s="21" t="n">
        <f aca="false">C3*'Допущения F1'!$C$5</f>
        <v>7.5</v>
      </c>
      <c r="E3" s="21" t="n">
        <f aca="false">D3*'Допущения F1'!$C$6</f>
        <v>1.875</v>
      </c>
      <c r="F3" s="21" t="n">
        <f aca="false">'План месяцев F1'!D3</f>
        <v>0</v>
      </c>
      <c r="G3" s="21" t="n">
        <f aca="false">H2*'Допущения F1'!$C$7</f>
        <v>0.05</v>
      </c>
      <c r="H3" s="21" t="n">
        <f aca="false">H2-G3+E3+F3</f>
        <v>3.075</v>
      </c>
      <c r="I3" s="21" t="n">
        <f aca="false">(H2+H3)/2</f>
        <v>2.1625</v>
      </c>
      <c r="J3" s="20" t="n">
        <f aca="false">'Допущения F1'!$C$8</f>
        <v>14900</v>
      </c>
      <c r="K3" s="22" t="n">
        <f aca="false">H3*J3</f>
        <v>45817.5</v>
      </c>
      <c r="L3" s="20" t="n">
        <f aca="false">'План месяцев F1'!E3*'Допущения F1'!$C$17</f>
        <v>0</v>
      </c>
      <c r="M3" s="20" t="n">
        <f aca="false">'План месяцев F1'!F3*'Допущения F1'!$C$16</f>
        <v>0</v>
      </c>
      <c r="N3" s="20" t="n">
        <f aca="false">I3*J3+L3+M3</f>
        <v>32221.25</v>
      </c>
      <c r="O3" s="20" t="n">
        <f aca="false">(I3*'Допущения F1'!$C$9+'План месяцев F1'!F3)*('Допущения F1'!$C$10+'План месяцев F1'!G3*'Допущения F1'!$C$11*'Допущения F1'!$C$12)+F3*J3*'Допущения F1'!$C$15+L3*'План месяцев F1'!G3</f>
        <v>16218.75</v>
      </c>
      <c r="P3" s="20" t="n">
        <f aca="false">N3-O3</f>
        <v>16002.5</v>
      </c>
      <c r="Q3" s="20" t="n">
        <f aca="false">'План месяцев F1'!H3+'Допущения F1'!$C$18</f>
        <v>30000</v>
      </c>
      <c r="R3" s="20" t="n">
        <f aca="false">U3*'Допущения F1'!$C$14</f>
        <v>1520.9175</v>
      </c>
      <c r="S3" s="20" t="n">
        <f aca="false">MAX(0,'Допущения F1'!$C$19-'Допущения F1'!$C$18)</f>
        <v>60000</v>
      </c>
      <c r="T3" s="20" t="n">
        <f aca="false">P3-Q3-R3-S3</f>
        <v>-75518.4175</v>
      </c>
      <c r="U3" s="20" t="n">
        <f aca="false">N3*(1-'Допущения F1'!$C$13)+(N2)*'Допущения F1'!$C$13</f>
        <v>25348.625</v>
      </c>
      <c r="V3" s="20" t="n">
        <f aca="false">O3+Q3+R3</f>
        <v>47739.6675</v>
      </c>
      <c r="W3" s="20" t="n">
        <f aca="false">'План месяцев F1'!I3</f>
        <v>0</v>
      </c>
      <c r="X3" s="23" t="n">
        <f aca="false">X2+U3-V3+W3</f>
        <v>68049.0825</v>
      </c>
      <c r="Y3" s="23" t="str">
        <f aca="false">IF(X3&lt;Q3*'Допущения F1'!$C$20,"НИЖЕ РЕЗЕРВА","РЕЗЕРВ ЕСТЬ")</f>
        <v>НИЖЕ РЕЗЕРВА</v>
      </c>
    </row>
    <row r="4" customFormat="false" ht="37.5" hidden="false" customHeight="true" outlineLevel="0" collapsed="false">
      <c r="A4" s="20" t="n">
        <f aca="false">'План месяцев F1'!A4</f>
        <v>3</v>
      </c>
      <c r="B4" s="21" t="n">
        <f aca="false">'План месяцев F1'!C4</f>
        <v>80</v>
      </c>
      <c r="C4" s="21" t="n">
        <f aca="false">B4*'Допущения F1'!$C$4</f>
        <v>20</v>
      </c>
      <c r="D4" s="21" t="n">
        <f aca="false">C4*'Допущения F1'!$C$5</f>
        <v>10</v>
      </c>
      <c r="E4" s="21" t="n">
        <f aca="false">D4*'Допущения F1'!$C$6</f>
        <v>2.5</v>
      </c>
      <c r="F4" s="21" t="n">
        <f aca="false">'План месяцев F1'!D4</f>
        <v>0</v>
      </c>
      <c r="G4" s="21" t="n">
        <f aca="false">H3*'Допущения F1'!$C$7</f>
        <v>0.123</v>
      </c>
      <c r="H4" s="21" t="n">
        <f aca="false">H3-G4+E4+F4</f>
        <v>5.452</v>
      </c>
      <c r="I4" s="21" t="n">
        <f aca="false">(H3+H4)/2</f>
        <v>4.2635</v>
      </c>
      <c r="J4" s="20" t="n">
        <f aca="false">'Допущения F1'!$C$8</f>
        <v>14900</v>
      </c>
      <c r="K4" s="22" t="n">
        <f aca="false">H4*J4</f>
        <v>81234.8</v>
      </c>
      <c r="L4" s="20" t="n">
        <f aca="false">'План месяцев F1'!E4*'Допущения F1'!$C$17</f>
        <v>0</v>
      </c>
      <c r="M4" s="20" t="n">
        <f aca="false">'План месяцев F1'!F4*'Допущения F1'!$C$16</f>
        <v>0</v>
      </c>
      <c r="N4" s="20" t="n">
        <f aca="false">I4*J4+L4+M4</f>
        <v>63526.15</v>
      </c>
      <c r="O4" s="20" t="n">
        <f aca="false">(I4*'Допущения F1'!$C$9+'План месяцев F1'!F4)*('Допущения F1'!$C$10+'План месяцев F1'!G4*'Допущения F1'!$C$11*'Допущения F1'!$C$12)+F4*J4*'Допущения F1'!$C$15+L4*'План месяцев F1'!G4</f>
        <v>31976.25</v>
      </c>
      <c r="P4" s="20" t="n">
        <f aca="false">N4-O4</f>
        <v>31549.9</v>
      </c>
      <c r="Q4" s="20" t="n">
        <f aca="false">'План месяцев F1'!H4+'Допущения F1'!$C$18</f>
        <v>30000</v>
      </c>
      <c r="R4" s="20" t="n">
        <f aca="false">U4*'Допущения F1'!$C$14</f>
        <v>3248.0808</v>
      </c>
      <c r="S4" s="20" t="n">
        <f aca="false">MAX(0,'Допущения F1'!$C$19-'Допущения F1'!$C$18)</f>
        <v>60000</v>
      </c>
      <c r="T4" s="20" t="n">
        <f aca="false">P4-Q4-R4-S4</f>
        <v>-61698.1808</v>
      </c>
      <c r="U4" s="20" t="n">
        <f aca="false">N4*(1-'Допущения F1'!$C$13)+(N3)*'Допущения F1'!$C$13</f>
        <v>54134.68</v>
      </c>
      <c r="V4" s="20" t="n">
        <f aca="false">O4+Q4+R4</f>
        <v>65224.3308</v>
      </c>
      <c r="W4" s="20" t="n">
        <f aca="false">'План месяцев F1'!I4</f>
        <v>0</v>
      </c>
      <c r="X4" s="23" t="n">
        <f aca="false">X3+U4-V4+W4</f>
        <v>56959.4317</v>
      </c>
      <c r="Y4" s="23" t="str">
        <f aca="false">IF(X4&lt;Q4*'Допущения F1'!$C$20,"НИЖЕ РЕЗЕРВА","РЕЗЕРВ ЕСТЬ")</f>
        <v>НИЖЕ РЕЗЕРВА</v>
      </c>
    </row>
    <row r="5" customFormat="false" ht="37.5" hidden="false" customHeight="true" outlineLevel="0" collapsed="false">
      <c r="A5" s="20" t="n">
        <f aca="false">'План месяцев F1'!A5</f>
        <v>4</v>
      </c>
      <c r="B5" s="21" t="n">
        <f aca="false">'План месяцев F1'!C5</f>
        <v>100</v>
      </c>
      <c r="C5" s="21" t="n">
        <f aca="false">B5*'Допущения F1'!$C$4</f>
        <v>25</v>
      </c>
      <c r="D5" s="21" t="n">
        <f aca="false">C5*'Допущения F1'!$C$5</f>
        <v>12.5</v>
      </c>
      <c r="E5" s="21" t="n">
        <f aca="false">D5*'Допущения F1'!$C$6</f>
        <v>3.125</v>
      </c>
      <c r="F5" s="21" t="n">
        <f aca="false">'План месяцев F1'!D5</f>
        <v>0</v>
      </c>
      <c r="G5" s="21" t="n">
        <f aca="false">H4*'Допущения F1'!$C$7</f>
        <v>0.21808</v>
      </c>
      <c r="H5" s="21" t="n">
        <f aca="false">H4-G5+E5+F5</f>
        <v>8.35892</v>
      </c>
      <c r="I5" s="21" t="n">
        <f aca="false">(H4+H5)/2</f>
        <v>6.90546</v>
      </c>
      <c r="J5" s="20" t="n">
        <f aca="false">'Допущения F1'!$C$8</f>
        <v>14900</v>
      </c>
      <c r="K5" s="22" t="n">
        <f aca="false">H5*J5</f>
        <v>124547.908</v>
      </c>
      <c r="L5" s="20" t="n">
        <f aca="false">'План месяцев F1'!E5*'Допущения F1'!$C$17</f>
        <v>0</v>
      </c>
      <c r="M5" s="20" t="n">
        <f aca="false">'План месяцев F1'!F5*'Допущения F1'!$C$16</f>
        <v>0</v>
      </c>
      <c r="N5" s="20" t="n">
        <f aca="false">I5*J5+L5+M5</f>
        <v>102891.354</v>
      </c>
      <c r="O5" s="20" t="n">
        <f aca="false">(I5*'Допущения F1'!$C$9+'План месяцев F1'!F5)*('Допущения F1'!$C$10+'План месяцев F1'!G5*'Допущения F1'!$C$11*'Допущения F1'!$C$12)+F5*J5*'Допущения F1'!$C$15+L5*'План месяцев F1'!G5</f>
        <v>51790.95</v>
      </c>
      <c r="P5" s="20" t="n">
        <f aca="false">N5-O5</f>
        <v>51100.404</v>
      </c>
      <c r="Q5" s="20" t="n">
        <f aca="false">'План месяцев F1'!H5+'Допущения F1'!$C$18</f>
        <v>40000</v>
      </c>
      <c r="R5" s="20" t="n">
        <f aca="false">U5*'Допущения F1'!$C$14</f>
        <v>5464.907568</v>
      </c>
      <c r="S5" s="20" t="n">
        <f aca="false">MAX(0,'Допущения F1'!$C$19-'Допущения F1'!$C$18)</f>
        <v>60000</v>
      </c>
      <c r="T5" s="20" t="n">
        <f aca="false">P5-Q5-R5-S5</f>
        <v>-54364.503568</v>
      </c>
      <c r="U5" s="20" t="n">
        <f aca="false">N5*(1-'Допущения F1'!$C$13)+(N4)*'Допущения F1'!$C$13</f>
        <v>91081.7928</v>
      </c>
      <c r="V5" s="20" t="n">
        <f aca="false">O5+Q5+R5</f>
        <v>97255.857568</v>
      </c>
      <c r="W5" s="20" t="n">
        <f aca="false">'План месяцев F1'!I5</f>
        <v>0</v>
      </c>
      <c r="X5" s="23" t="n">
        <f aca="false">X4+U5-V5+W5</f>
        <v>50785.366932</v>
      </c>
      <c r="Y5" s="23" t="str">
        <f aca="false">IF(X5&lt;Q5*'Допущения F1'!$C$20,"НИЖЕ РЕЗЕРВА","РЕЗЕРВ ЕСТЬ")</f>
        <v>НИЖЕ РЕЗЕРВА</v>
      </c>
    </row>
    <row r="6" customFormat="false" ht="37.5" hidden="false" customHeight="true" outlineLevel="0" collapsed="false">
      <c r="A6" s="20" t="n">
        <f aca="false">'План месяцев F1'!A6</f>
        <v>5</v>
      </c>
      <c r="B6" s="21" t="n">
        <f aca="false">'План месяцев F1'!C6</f>
        <v>120</v>
      </c>
      <c r="C6" s="21" t="n">
        <f aca="false">B6*'Допущения F1'!$C$4</f>
        <v>30</v>
      </c>
      <c r="D6" s="21" t="n">
        <f aca="false">C6*'Допущения F1'!$C$5</f>
        <v>15</v>
      </c>
      <c r="E6" s="21" t="n">
        <f aca="false">D6*'Допущения F1'!$C$6</f>
        <v>3.75</v>
      </c>
      <c r="F6" s="21" t="n">
        <f aca="false">'План месяцев F1'!D6</f>
        <v>0</v>
      </c>
      <c r="G6" s="21" t="n">
        <f aca="false">H5*'Допущения F1'!$C$7</f>
        <v>0.3343568</v>
      </c>
      <c r="H6" s="21" t="n">
        <f aca="false">H5-G6+E6+F6</f>
        <v>11.7745632</v>
      </c>
      <c r="I6" s="21" t="n">
        <f aca="false">(H5+H6)/2</f>
        <v>10.0667416</v>
      </c>
      <c r="J6" s="20" t="n">
        <f aca="false">'Допущения F1'!$C$8</f>
        <v>14900</v>
      </c>
      <c r="K6" s="22" t="n">
        <f aca="false">H6*J6</f>
        <v>175440.99168</v>
      </c>
      <c r="L6" s="20" t="n">
        <f aca="false">'План месяцев F1'!E6*'Допущения F1'!$C$17</f>
        <v>0</v>
      </c>
      <c r="M6" s="20" t="n">
        <f aca="false">'План месяцев F1'!F6*'Допущения F1'!$C$16</f>
        <v>0</v>
      </c>
      <c r="N6" s="20" t="n">
        <f aca="false">I6*J6+L6+M6</f>
        <v>149994.44984</v>
      </c>
      <c r="O6" s="20" t="n">
        <f aca="false">(I6*'Допущения F1'!$C$9+'План месяцев F1'!F6)*('Допущения F1'!$C$10+'План месяцев F1'!G6*'Допущения F1'!$C$11*'Допущения F1'!$C$12)+F6*J6*'Допущения F1'!$C$15+L6*'План месяцев F1'!G6</f>
        <v>75500.562</v>
      </c>
      <c r="P6" s="20" t="n">
        <f aca="false">N6-O6</f>
        <v>74493.88784</v>
      </c>
      <c r="Q6" s="20" t="n">
        <f aca="false">'План месяцев F1'!H6+'Допущения F1'!$C$18</f>
        <v>40000</v>
      </c>
      <c r="R6" s="20" t="n">
        <f aca="false">U6*'Допущения F1'!$C$14</f>
        <v>8151.81126528</v>
      </c>
      <c r="S6" s="20" t="n">
        <f aca="false">MAX(0,'Допущения F1'!$C$19-'Допущения F1'!$C$18)</f>
        <v>60000</v>
      </c>
      <c r="T6" s="20" t="n">
        <f aca="false">P6-Q6-R6-S6</f>
        <v>-33657.92342528</v>
      </c>
      <c r="U6" s="20" t="n">
        <f aca="false">N6*(1-'Допущения F1'!$C$13)+(N5)*'Допущения F1'!$C$13</f>
        <v>135863.521088</v>
      </c>
      <c r="V6" s="20" t="n">
        <f aca="false">O6+Q6+R6</f>
        <v>123652.37326528</v>
      </c>
      <c r="W6" s="20" t="n">
        <f aca="false">'План месяцев F1'!I6</f>
        <v>0</v>
      </c>
      <c r="X6" s="23" t="n">
        <f aca="false">X5+U6-V6+W6</f>
        <v>62996.51475472</v>
      </c>
      <c r="Y6" s="23" t="str">
        <f aca="false">IF(X6&lt;Q6*'Допущения F1'!$C$20,"НИЖЕ РЕЗЕРВА","РЕЗЕРВ ЕСТЬ")</f>
        <v>НИЖЕ РЕЗЕРВА</v>
      </c>
    </row>
    <row r="7" customFormat="false" ht="37.5" hidden="false" customHeight="true" outlineLevel="0" collapsed="false">
      <c r="A7" s="20" t="n">
        <f aca="false">'План месяцев F1'!A7</f>
        <v>6</v>
      </c>
      <c r="B7" s="21" t="n">
        <f aca="false">'План месяцев F1'!C7</f>
        <v>140</v>
      </c>
      <c r="C7" s="21" t="n">
        <f aca="false">B7*'Допущения F1'!$C$4</f>
        <v>35</v>
      </c>
      <c r="D7" s="21" t="n">
        <f aca="false">C7*'Допущения F1'!$C$5</f>
        <v>17.5</v>
      </c>
      <c r="E7" s="21" t="n">
        <f aca="false">D7*'Допущения F1'!$C$6</f>
        <v>4.375</v>
      </c>
      <c r="F7" s="21" t="n">
        <f aca="false">'План месяцев F1'!D7</f>
        <v>0</v>
      </c>
      <c r="G7" s="21" t="n">
        <f aca="false">H6*'Допущения F1'!$C$7</f>
        <v>0.470982528</v>
      </c>
      <c r="H7" s="21" t="n">
        <f aca="false">H6-G7+E7+F7</f>
        <v>15.678580672</v>
      </c>
      <c r="I7" s="21" t="n">
        <f aca="false">(H6+H7)/2</f>
        <v>13.726571936</v>
      </c>
      <c r="J7" s="20" t="n">
        <f aca="false">'Допущения F1'!$C$8</f>
        <v>14900</v>
      </c>
      <c r="K7" s="22" t="n">
        <f aca="false">H7*J7</f>
        <v>233610.8520128</v>
      </c>
      <c r="L7" s="20" t="n">
        <f aca="false">'План месяцев F1'!E7*'Допущения F1'!$C$17</f>
        <v>0</v>
      </c>
      <c r="M7" s="20" t="n">
        <f aca="false">'План месяцев F1'!F7*'Допущения F1'!$C$16</f>
        <v>0</v>
      </c>
      <c r="N7" s="20" t="n">
        <f aca="false">I7*J7+L7+M7</f>
        <v>204525.9218464</v>
      </c>
      <c r="O7" s="20" t="n">
        <f aca="false">(I7*'Допущения F1'!$C$9+'План месяцев F1'!F7)*('Допущения F1'!$C$10+'План месяцев F1'!G7*'Допущения F1'!$C$11*'Допущения F1'!$C$12)+F7*J7*'Допущения F1'!$C$15+L7*'План месяцев F1'!G7</f>
        <v>102949.28952</v>
      </c>
      <c r="P7" s="20" t="n">
        <f aca="false">N7-O7</f>
        <v>101576.6323264</v>
      </c>
      <c r="Q7" s="20" t="n">
        <f aca="false">'План месяцев F1'!H7+'Допущения F1'!$C$18</f>
        <v>40000</v>
      </c>
      <c r="R7" s="20" t="n">
        <f aca="false">U7*'Допущения F1'!$C$14</f>
        <v>11289.9888146688</v>
      </c>
      <c r="S7" s="20" t="n">
        <f aca="false">MAX(0,'Допущения F1'!$C$19-'Допущения F1'!$C$18)</f>
        <v>60000</v>
      </c>
      <c r="T7" s="20" t="n">
        <f aca="false">P7-Q7-R7-S7</f>
        <v>-9713.35648826881</v>
      </c>
      <c r="U7" s="20" t="n">
        <f aca="false">N7*(1-'Допущения F1'!$C$13)+(N6)*'Допущения F1'!$C$13</f>
        <v>188166.48024448</v>
      </c>
      <c r="V7" s="20" t="n">
        <f aca="false">O7+Q7+R7</f>
        <v>154239.278334669</v>
      </c>
      <c r="W7" s="20" t="n">
        <f aca="false">'План месяцев F1'!I7</f>
        <v>0</v>
      </c>
      <c r="X7" s="23" t="n">
        <f aca="false">X6+U7-V7+W7</f>
        <v>96923.7166645312</v>
      </c>
      <c r="Y7" s="23" t="str">
        <f aca="false">IF(X7&lt;Q7*'Допущения F1'!$C$20,"НИЖЕ РЕЗЕРВА","РЕЗЕРВ ЕСТЬ")</f>
        <v>НИЖЕ РЕЗЕРВА</v>
      </c>
    </row>
    <row r="8" customFormat="false" ht="37.5" hidden="false" customHeight="true" outlineLevel="0" collapsed="false">
      <c r="A8" s="20" t="n">
        <f aca="false">'План месяцев F1'!A8</f>
        <v>7</v>
      </c>
      <c r="B8" s="21" t="n">
        <f aca="false">'План месяцев F1'!C8</f>
        <v>160</v>
      </c>
      <c r="C8" s="21" t="n">
        <f aca="false">B8*'Допущения F1'!$C$4</f>
        <v>40</v>
      </c>
      <c r="D8" s="21" t="n">
        <f aca="false">C8*'Допущения F1'!$C$5</f>
        <v>20</v>
      </c>
      <c r="E8" s="21" t="n">
        <f aca="false">D8*'Допущения F1'!$C$6</f>
        <v>5</v>
      </c>
      <c r="F8" s="21" t="n">
        <f aca="false">'План месяцев F1'!D8</f>
        <v>0</v>
      </c>
      <c r="G8" s="21" t="n">
        <f aca="false">H7*'Допущения F1'!$C$7</f>
        <v>0.62714322688</v>
      </c>
      <c r="H8" s="21" t="n">
        <f aca="false">H7-G8+E8+F8</f>
        <v>20.05143744512</v>
      </c>
      <c r="I8" s="21" t="n">
        <f aca="false">(H7+H8)/2</f>
        <v>17.86500905856</v>
      </c>
      <c r="J8" s="20" t="n">
        <f aca="false">'Допущения F1'!$C$8</f>
        <v>14900</v>
      </c>
      <c r="K8" s="22" t="n">
        <f aca="false">H8*J8</f>
        <v>298766.417932288</v>
      </c>
      <c r="L8" s="20" t="n">
        <f aca="false">'План месяцев F1'!E8*'Допущения F1'!$C$17</f>
        <v>0</v>
      </c>
      <c r="M8" s="20" t="n">
        <f aca="false">'План месяцев F1'!F8*'Допущения F1'!$C$16</f>
        <v>0</v>
      </c>
      <c r="N8" s="20" t="n">
        <f aca="false">I8*J8+L8+M8</f>
        <v>266188.634972544</v>
      </c>
      <c r="O8" s="20" t="n">
        <f aca="false">(I8*'Допущения F1'!$C$9+'План месяцев F1'!F8)*('Допущения F1'!$C$10+'План месяцев F1'!G8*'Допущения F1'!$C$11*'Допущения F1'!$C$12)+F8*J8*'Допущения F1'!$C$15+L8*'План месяцев F1'!G8</f>
        <v>133987.5679392</v>
      </c>
      <c r="P8" s="20" t="n">
        <f aca="false">N8-O8</f>
        <v>132201.067033344</v>
      </c>
      <c r="Q8" s="20" t="n">
        <f aca="false">'План месяцев F1'!H8+'Допущения F1'!$C$18</f>
        <v>50000</v>
      </c>
      <c r="R8" s="20" t="n">
        <f aca="false">U8*'Допущения F1'!$C$14</f>
        <v>14861.389262082</v>
      </c>
      <c r="S8" s="20" t="n">
        <f aca="false">MAX(0,'Допущения F1'!$C$19-'Допущения F1'!$C$18)</f>
        <v>60000</v>
      </c>
      <c r="T8" s="20" t="n">
        <f aca="false">P8-Q8-R8-S8</f>
        <v>7339.67777126195</v>
      </c>
      <c r="U8" s="20" t="n">
        <f aca="false">N8*(1-'Допущения F1'!$C$13)+(N7)*'Допущения F1'!$C$13</f>
        <v>247689.821034701</v>
      </c>
      <c r="V8" s="20" t="n">
        <f aca="false">O8+Q8+R8</f>
        <v>198848.957201282</v>
      </c>
      <c r="W8" s="20" t="n">
        <f aca="false">'План месяцев F1'!I8</f>
        <v>0</v>
      </c>
      <c r="X8" s="23" t="n">
        <f aca="false">X7+U8-V8+W8</f>
        <v>145764.58049795</v>
      </c>
      <c r="Y8" s="23" t="str">
        <f aca="false">IF(X8&lt;Q8*'Допущения F1'!$C$20,"НИЖЕ РЕЗЕРВА","РЕЗЕРВ ЕСТЬ")</f>
        <v>НИЖЕ РЕЗЕРВА</v>
      </c>
    </row>
    <row r="9" customFormat="false" ht="37.5" hidden="false" customHeight="true" outlineLevel="0" collapsed="false">
      <c r="A9" s="20" t="n">
        <f aca="false">'План месяцев F1'!A9</f>
        <v>8</v>
      </c>
      <c r="B9" s="21" t="n">
        <f aca="false">'План месяцев F1'!C9</f>
        <v>180</v>
      </c>
      <c r="C9" s="21" t="n">
        <f aca="false">B9*'Допущения F1'!$C$4</f>
        <v>45</v>
      </c>
      <c r="D9" s="21" t="n">
        <f aca="false">C9*'Допущения F1'!$C$5</f>
        <v>22.5</v>
      </c>
      <c r="E9" s="21" t="n">
        <f aca="false">D9*'Допущения F1'!$C$6</f>
        <v>5.625</v>
      </c>
      <c r="F9" s="21" t="n">
        <f aca="false">'План месяцев F1'!D9</f>
        <v>0</v>
      </c>
      <c r="G9" s="21" t="n">
        <f aca="false">H8*'Допущения F1'!$C$7</f>
        <v>0.8020574978048</v>
      </c>
      <c r="H9" s="21" t="n">
        <f aca="false">H8-G9+E9+F9</f>
        <v>24.8743799473152</v>
      </c>
      <c r="I9" s="21" t="n">
        <f aca="false">(H8+H9)/2</f>
        <v>22.4629086962176</v>
      </c>
      <c r="J9" s="20" t="n">
        <f aca="false">'Допущения F1'!$C$8</f>
        <v>14900</v>
      </c>
      <c r="K9" s="22" t="n">
        <f aca="false">H9*J9</f>
        <v>370628.261214997</v>
      </c>
      <c r="L9" s="20" t="n">
        <f aca="false">'План месяцев F1'!E9*'Допущения F1'!$C$17</f>
        <v>0</v>
      </c>
      <c r="M9" s="20" t="n">
        <f aca="false">'План месяцев F1'!F9*'Допущения F1'!$C$16</f>
        <v>0</v>
      </c>
      <c r="N9" s="20" t="n">
        <f aca="false">I9*J9+L9+M9</f>
        <v>334697.339573642</v>
      </c>
      <c r="O9" s="20" t="n">
        <f aca="false">(I9*'Допущения F1'!$C$9+'План месяцев F1'!F9)*('Допущения F1'!$C$10+'План месяцев F1'!G9*'Допущения F1'!$C$11*'Допущения F1'!$C$12)+F9*J9*'Допущения F1'!$C$15+L9*'План месяцев F1'!G9</f>
        <v>168471.815221632</v>
      </c>
      <c r="P9" s="20" t="n">
        <f aca="false">N9-O9</f>
        <v>166225.52435201</v>
      </c>
      <c r="Q9" s="20" t="n">
        <f aca="false">'План месяцев F1'!H9+'Допущения F1'!$C$18</f>
        <v>50000</v>
      </c>
      <c r="R9" s="20" t="n">
        <f aca="false">U9*'Допущения F1'!$C$14</f>
        <v>18848.6836915988</v>
      </c>
      <c r="S9" s="20" t="n">
        <f aca="false">MAX(0,'Допущения F1'!$C$19-'Допущения F1'!$C$18)</f>
        <v>60000</v>
      </c>
      <c r="T9" s="20" t="n">
        <f aca="false">P9-Q9-R9-S9</f>
        <v>37376.8406604115</v>
      </c>
      <c r="U9" s="20" t="n">
        <f aca="false">N9*(1-'Допущения F1'!$C$13)+(N8)*'Допущения F1'!$C$13</f>
        <v>314144.728193313</v>
      </c>
      <c r="V9" s="20" t="n">
        <f aca="false">O9+Q9+R9</f>
        <v>237320.498913231</v>
      </c>
      <c r="W9" s="20" t="n">
        <f aca="false">'План месяцев F1'!I9</f>
        <v>0</v>
      </c>
      <c r="X9" s="23" t="n">
        <f aca="false">X8+U9-V9+W9</f>
        <v>222588.809778032</v>
      </c>
      <c r="Y9" s="23" t="str">
        <f aca="false">IF(X9&lt;Q9*'Допущения F1'!$C$20,"НИЖЕ РЕЗЕРВА","РЕЗЕРВ ЕСТЬ")</f>
        <v>РЕЗЕРВ ЕСТЬ</v>
      </c>
    </row>
    <row r="10" customFormat="false" ht="37.5" hidden="false" customHeight="true" outlineLevel="0" collapsed="false">
      <c r="A10" s="20" t="n">
        <f aca="false">'План месяцев F1'!A10</f>
        <v>9</v>
      </c>
      <c r="B10" s="21" t="n">
        <f aca="false">'План месяцев F1'!C10</f>
        <v>200</v>
      </c>
      <c r="C10" s="21" t="n">
        <f aca="false">B10*'Допущения F1'!$C$4</f>
        <v>50</v>
      </c>
      <c r="D10" s="21" t="n">
        <f aca="false">C10*'Допущения F1'!$C$5</f>
        <v>25</v>
      </c>
      <c r="E10" s="21" t="n">
        <f aca="false">D10*'Допущения F1'!$C$6</f>
        <v>6.25</v>
      </c>
      <c r="F10" s="21" t="n">
        <f aca="false">'План месяцев F1'!D10</f>
        <v>0</v>
      </c>
      <c r="G10" s="21" t="n">
        <f aca="false">H9*'Допущения F1'!$C$7</f>
        <v>0.994975197892608</v>
      </c>
      <c r="H10" s="21" t="n">
        <f aca="false">H9-G10+E10+F10</f>
        <v>30.1294047494226</v>
      </c>
      <c r="I10" s="21" t="n">
        <f aca="false">(H9+H10)/2</f>
        <v>27.5018923483689</v>
      </c>
      <c r="J10" s="20" t="n">
        <f aca="false">'Допущения F1'!$C$8</f>
        <v>14900</v>
      </c>
      <c r="K10" s="22" t="n">
        <f aca="false">H10*J10</f>
        <v>448928.130766397</v>
      </c>
      <c r="L10" s="20" t="n">
        <f aca="false">'План месяцев F1'!E10*'Допущения F1'!$C$17</f>
        <v>0</v>
      </c>
      <c r="M10" s="20" t="n">
        <f aca="false">'План месяцев F1'!F10*'Допущения F1'!$C$16</f>
        <v>0</v>
      </c>
      <c r="N10" s="20" t="n">
        <f aca="false">I10*J10+L10+M10</f>
        <v>409778.195990697</v>
      </c>
      <c r="O10" s="20" t="n">
        <f aca="false">(I10*'Допущения F1'!$C$9+'План месяцев F1'!F10)*('Допущения F1'!$C$10+'План месяцев F1'!G10*'Допущения F1'!$C$11*'Допущения F1'!$C$12)+F10*J10*'Допущения F1'!$C$15+L10*'План месяцев F1'!G10</f>
        <v>206264.192612767</v>
      </c>
      <c r="P10" s="20" t="n">
        <f aca="false">N10-O10</f>
        <v>203514.00337793</v>
      </c>
      <c r="Q10" s="20" t="n">
        <f aca="false">'План месяцев F1'!H10+'Допущения F1'!$C$18</f>
        <v>50000</v>
      </c>
      <c r="R10" s="20" t="n">
        <f aca="false">U10*'Допущения F1'!$C$14</f>
        <v>23235.2363439348</v>
      </c>
      <c r="S10" s="20" t="n">
        <f aca="false">MAX(0,'Допущения F1'!$C$19-'Допущения F1'!$C$18)</f>
        <v>60000</v>
      </c>
      <c r="T10" s="20" t="n">
        <f aca="false">P10-Q10-R10-S10</f>
        <v>70278.7670339951</v>
      </c>
      <c r="U10" s="20" t="n">
        <f aca="false">N10*(1-'Допущения F1'!$C$13)+(N9)*'Допущения F1'!$C$13</f>
        <v>387253.93906558</v>
      </c>
      <c r="V10" s="20" t="n">
        <f aca="false">O10+Q10+R10</f>
        <v>279499.428956702</v>
      </c>
      <c r="W10" s="20" t="n">
        <f aca="false">'План месяцев F1'!I10</f>
        <v>0</v>
      </c>
      <c r="X10" s="23" t="n">
        <f aca="false">X9+U10-V10+W10</f>
        <v>330343.319886911</v>
      </c>
      <c r="Y10" s="23" t="str">
        <f aca="false">IF(X10&lt;Q10*'Допущения F1'!$C$20,"НИЖЕ РЕЗЕРВА","РЕЗЕРВ ЕСТЬ")</f>
        <v>РЕЗЕРВ ЕСТЬ</v>
      </c>
    </row>
    <row r="11" customFormat="false" ht="37.5" hidden="false" customHeight="true" outlineLevel="0" collapsed="false">
      <c r="A11" s="20" t="n">
        <f aca="false">'План месяцев F1'!A11</f>
        <v>10</v>
      </c>
      <c r="B11" s="21" t="n">
        <f aca="false">'План месяцев F1'!C11</f>
        <v>220</v>
      </c>
      <c r="C11" s="21" t="n">
        <f aca="false">B11*'Допущения F1'!$C$4</f>
        <v>55</v>
      </c>
      <c r="D11" s="21" t="n">
        <f aca="false">C11*'Допущения F1'!$C$5</f>
        <v>27.5</v>
      </c>
      <c r="E11" s="21" t="n">
        <f aca="false">D11*'Допущения F1'!$C$6</f>
        <v>6.875</v>
      </c>
      <c r="F11" s="21" t="n">
        <f aca="false">'План месяцев F1'!D11</f>
        <v>0</v>
      </c>
      <c r="G11" s="21" t="n">
        <f aca="false">H10*'Допущения F1'!$C$7</f>
        <v>1.2051761899769</v>
      </c>
      <c r="H11" s="21" t="n">
        <f aca="false">H10-G11+E11+F11</f>
        <v>35.7992285594457</v>
      </c>
      <c r="I11" s="21" t="n">
        <f aca="false">(H10+H11)/2</f>
        <v>32.9643166544341</v>
      </c>
      <c r="J11" s="20" t="n">
        <f aca="false">'Допущения F1'!$C$8</f>
        <v>14900</v>
      </c>
      <c r="K11" s="22" t="n">
        <f aca="false">H11*J11</f>
        <v>533408.505535741</v>
      </c>
      <c r="L11" s="20" t="n">
        <f aca="false">'План месяцев F1'!E11*'Допущения F1'!$C$17</f>
        <v>0</v>
      </c>
      <c r="M11" s="20" t="n">
        <f aca="false">'План месяцев F1'!F11*'Допущения F1'!$C$16</f>
        <v>0</v>
      </c>
      <c r="N11" s="20" t="n">
        <f aca="false">I11*J11+L11+M11</f>
        <v>491168.318151069</v>
      </c>
      <c r="O11" s="20" t="n">
        <f aca="false">(I11*'Допущения F1'!$C$9+'План месяцев F1'!F11)*('Допущения F1'!$C$10+'План месяцев F1'!G11*'Допущения F1'!$C$11*'Допущения F1'!$C$12)+F11*J11*'Допущения F1'!$C$15+L11*'План месяцев F1'!G11</f>
        <v>247232.374908256</v>
      </c>
      <c r="P11" s="20" t="n">
        <f aca="false">N11-O11</f>
        <v>243935.943242813</v>
      </c>
      <c r="Q11" s="20" t="n">
        <f aca="false">'План месяцев F1'!H11+'Допущения F1'!$C$18</f>
        <v>60000</v>
      </c>
      <c r="R11" s="20" t="n">
        <f aca="false">U11*'Допущения F1'!$C$14</f>
        <v>28005.0768901774</v>
      </c>
      <c r="S11" s="20" t="n">
        <f aca="false">MAX(0,'Допущения F1'!$C$19-'Допущения F1'!$C$18)</f>
        <v>60000</v>
      </c>
      <c r="T11" s="20" t="n">
        <f aca="false">P11-Q11-R11-S11</f>
        <v>95930.8663526352</v>
      </c>
      <c r="U11" s="20" t="n">
        <f aca="false">N11*(1-'Допущения F1'!$C$13)+(N10)*'Допущения F1'!$C$13</f>
        <v>466751.281502957</v>
      </c>
      <c r="V11" s="20" t="n">
        <f aca="false">O11+Q11+R11</f>
        <v>335237.451798434</v>
      </c>
      <c r="W11" s="20" t="n">
        <f aca="false">'План месяцев F1'!I11</f>
        <v>0</v>
      </c>
      <c r="X11" s="23" t="n">
        <f aca="false">X10+U11-V11+W11</f>
        <v>461857.149591434</v>
      </c>
      <c r="Y11" s="23" t="str">
        <f aca="false">IF(X11&lt;Q11*'Допущения F1'!$C$20,"НИЖЕ РЕЗЕРВА","РЕЗЕРВ ЕСТЬ")</f>
        <v>РЕЗЕРВ ЕСТЬ</v>
      </c>
    </row>
    <row r="12" customFormat="false" ht="37.5" hidden="false" customHeight="true" outlineLevel="0" collapsed="false">
      <c r="A12" s="20" t="n">
        <f aca="false">'План месяцев F1'!A12</f>
        <v>11</v>
      </c>
      <c r="B12" s="21" t="n">
        <f aca="false">'План месяцев F1'!C12</f>
        <v>240</v>
      </c>
      <c r="C12" s="21" t="n">
        <f aca="false">B12*'Допущения F1'!$C$4</f>
        <v>60</v>
      </c>
      <c r="D12" s="21" t="n">
        <f aca="false">C12*'Допущения F1'!$C$5</f>
        <v>30</v>
      </c>
      <c r="E12" s="21" t="n">
        <f aca="false">D12*'Допущения F1'!$C$6</f>
        <v>7.5</v>
      </c>
      <c r="F12" s="21" t="n">
        <f aca="false">'План месяцев F1'!D12</f>
        <v>0</v>
      </c>
      <c r="G12" s="21" t="n">
        <f aca="false">H11*'Допущения F1'!$C$7</f>
        <v>1.43196914237783</v>
      </c>
      <c r="H12" s="21" t="n">
        <f aca="false">H11-G12+E12+F12</f>
        <v>41.8672594170679</v>
      </c>
      <c r="I12" s="21" t="n">
        <f aca="false">(H11+H12)/2</f>
        <v>38.8332439882568</v>
      </c>
      <c r="J12" s="20" t="n">
        <f aca="false">'Допущения F1'!$C$8</f>
        <v>14900</v>
      </c>
      <c r="K12" s="22" t="n">
        <f aca="false">H12*J12</f>
        <v>623822.165314311</v>
      </c>
      <c r="L12" s="20" t="n">
        <f aca="false">'План месяцев F1'!E12*'Допущения F1'!$C$17</f>
        <v>0</v>
      </c>
      <c r="M12" s="20" t="n">
        <f aca="false">'План месяцев F1'!F12*'Допущения F1'!$C$16</f>
        <v>0</v>
      </c>
      <c r="N12" s="20" t="n">
        <f aca="false">I12*J12+L12+M12</f>
        <v>578615.335425026</v>
      </c>
      <c r="O12" s="20" t="n">
        <f aca="false">(I12*'Допущения F1'!$C$9+'План месяцев F1'!F12)*('Допущения F1'!$C$10+'План месяцев F1'!G12*'Допущения F1'!$C$11*'Допущения F1'!$C$12)+F12*J12*'Допущения F1'!$C$15+L12*'План месяцев F1'!G12</f>
        <v>291249.329911926</v>
      </c>
      <c r="P12" s="20" t="n">
        <f aca="false">N12-O12</f>
        <v>287366.0055131</v>
      </c>
      <c r="Q12" s="20" t="n">
        <f aca="false">'План месяцев F1'!H12+'Допущения F1'!$C$18</f>
        <v>60000</v>
      </c>
      <c r="R12" s="20" t="n">
        <f aca="false">U12*'Допущения F1'!$C$14</f>
        <v>33142.8738145703</v>
      </c>
      <c r="S12" s="20" t="n">
        <f aca="false">MAX(0,'Допущения F1'!$C$19-'Допущения F1'!$C$18)</f>
        <v>60000</v>
      </c>
      <c r="T12" s="20" t="n">
        <f aca="false">P12-Q12-R12-S12</f>
        <v>134223.13169853</v>
      </c>
      <c r="U12" s="20" t="n">
        <f aca="false">N12*(1-'Допущения F1'!$C$13)+(N11)*'Допущения F1'!$C$13</f>
        <v>552381.230242839</v>
      </c>
      <c r="V12" s="20" t="n">
        <f aca="false">O12+Q12+R12</f>
        <v>384392.203726496</v>
      </c>
      <c r="W12" s="20" t="n">
        <f aca="false">'План месяцев F1'!I12</f>
        <v>0</v>
      </c>
      <c r="X12" s="23" t="n">
        <f aca="false">X11+U12-V12+W12</f>
        <v>629846.176107777</v>
      </c>
      <c r="Y12" s="23" t="str">
        <f aca="false">IF(X12&lt;Q12*'Допущения F1'!$C$20,"НИЖЕ РЕЗЕРВА","РЕЗЕРВ ЕСТЬ")</f>
        <v>РЕЗЕРВ ЕСТЬ</v>
      </c>
    </row>
    <row r="13" customFormat="false" ht="37.5" hidden="false" customHeight="true" outlineLevel="0" collapsed="false">
      <c r="A13" s="20" t="n">
        <f aca="false">'План месяцев F1'!A13</f>
        <v>12</v>
      </c>
      <c r="B13" s="21" t="n">
        <f aca="false">'План месяцев F1'!C13</f>
        <v>260</v>
      </c>
      <c r="C13" s="21" t="n">
        <f aca="false">B13*'Допущения F1'!$C$4</f>
        <v>65</v>
      </c>
      <c r="D13" s="21" t="n">
        <f aca="false">C13*'Допущения F1'!$C$5</f>
        <v>32.5</v>
      </c>
      <c r="E13" s="21" t="n">
        <f aca="false">D13*'Допущения F1'!$C$6</f>
        <v>8.125</v>
      </c>
      <c r="F13" s="21" t="n">
        <f aca="false">'План месяцев F1'!D13</f>
        <v>0</v>
      </c>
      <c r="G13" s="21" t="n">
        <f aca="false">H12*'Допущения F1'!$C$7</f>
        <v>1.67469037668271</v>
      </c>
      <c r="H13" s="21" t="n">
        <f aca="false">H12-G13+E13+F13</f>
        <v>48.3175690403852</v>
      </c>
      <c r="I13" s="21" t="n">
        <f aca="false">(H12+H13)/2</f>
        <v>45.0924142287265</v>
      </c>
      <c r="J13" s="20" t="n">
        <f aca="false">'Допущения F1'!$C$8</f>
        <v>14900</v>
      </c>
      <c r="K13" s="22" t="n">
        <f aca="false">H13*J13</f>
        <v>719931.778701739</v>
      </c>
      <c r="L13" s="20" t="n">
        <f aca="false">'План месяцев F1'!E13*'Допущения F1'!$C$17</f>
        <v>0</v>
      </c>
      <c r="M13" s="20" t="n">
        <f aca="false">'План месяцев F1'!F13*'Допущения F1'!$C$16</f>
        <v>0</v>
      </c>
      <c r="N13" s="20" t="n">
        <f aca="false">I13*J13+L13+M13</f>
        <v>671876.972008025</v>
      </c>
      <c r="O13" s="20" t="n">
        <f aca="false">(I13*'Допущения F1'!$C$9+'План месяцев F1'!F13)*('Допущения F1'!$C$10+'План месяцев F1'!G13*'Допущения F1'!$C$11*'Допущения F1'!$C$12)+F13*J13*'Допущения F1'!$C$15+L13*'План месяцев F1'!G13</f>
        <v>338193.106715449</v>
      </c>
      <c r="P13" s="20" t="n">
        <f aca="false">N13-O13</f>
        <v>333683.865292576</v>
      </c>
      <c r="Q13" s="20" t="n">
        <f aca="false">'План месяцев F1'!H13+'Допущения F1'!$C$18</f>
        <v>60000</v>
      </c>
      <c r="R13" s="20" t="n">
        <f aca="false">U13*'Допущения F1'!$C$14</f>
        <v>38633.9088619875</v>
      </c>
      <c r="S13" s="20" t="n">
        <f aca="false">MAX(0,'Допущения F1'!$C$19-'Допущения F1'!$C$18)</f>
        <v>60000</v>
      </c>
      <c r="T13" s="20" t="n">
        <f aca="false">P13-Q13-R13-S13</f>
        <v>175049.956430589</v>
      </c>
      <c r="U13" s="20" t="n">
        <f aca="false">N13*(1-'Допущения F1'!$C$13)+(N12)*'Допущения F1'!$C$13</f>
        <v>643898.481033125</v>
      </c>
      <c r="V13" s="20" t="n">
        <f aca="false">O13+Q13+R13</f>
        <v>436827.015577436</v>
      </c>
      <c r="W13" s="20" t="n">
        <f aca="false">'План месяцев F1'!I13</f>
        <v>0</v>
      </c>
      <c r="X13" s="23" t="n">
        <f aca="false">X12+U13-V13+W13</f>
        <v>836917.641563466</v>
      </c>
      <c r="Y13" s="23" t="str">
        <f aca="false">IF(X13&lt;Q13*'Допущения F1'!$C$20,"НИЖЕ РЕЗЕРВА","РЕЗЕРВ ЕСТЬ")</f>
        <v>РЕЗЕРВ ЕСТЬ</v>
      </c>
    </row>
  </sheetData>
  <conditionalFormatting sqref="X2:X13">
    <cfRule type="cellIs" priority="2" operator="less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9" min="2" style="0" width="14"/>
    <col collapsed="false" customWidth="true" hidden="false" outlineLevel="0" max="25" min="10" style="0" width="18"/>
  </cols>
  <sheetData>
    <row r="1" customFormat="false" ht="78" hidden="false" customHeight="true" outlineLevel="0" collapsed="false">
      <c r="A1" s="9" t="s">
        <v>102</v>
      </c>
      <c r="B1" s="9" t="s">
        <v>103</v>
      </c>
      <c r="C1" s="9" t="s">
        <v>104</v>
      </c>
      <c r="D1" s="9" t="s">
        <v>105</v>
      </c>
      <c r="E1" s="9" t="s">
        <v>106</v>
      </c>
      <c r="F1" s="9" t="s">
        <v>107</v>
      </c>
      <c r="G1" s="9" t="s">
        <v>108</v>
      </c>
      <c r="H1" s="9" t="s">
        <v>109</v>
      </c>
      <c r="I1" s="9" t="s">
        <v>110</v>
      </c>
      <c r="J1" s="9" t="s">
        <v>111</v>
      </c>
      <c r="K1" s="9" t="s">
        <v>112</v>
      </c>
      <c r="L1" s="9" t="s">
        <v>113</v>
      </c>
      <c r="M1" s="9" t="s">
        <v>114</v>
      </c>
      <c r="N1" s="9" t="s">
        <v>115</v>
      </c>
      <c r="O1" s="9" t="s">
        <v>116</v>
      </c>
      <c r="P1" s="9" t="s">
        <v>117</v>
      </c>
      <c r="Q1" s="9" t="s">
        <v>118</v>
      </c>
      <c r="R1" s="9" t="s">
        <v>119</v>
      </c>
      <c r="S1" s="9" t="s">
        <v>120</v>
      </c>
      <c r="T1" s="9" t="s">
        <v>121</v>
      </c>
      <c r="U1" s="9" t="s">
        <v>122</v>
      </c>
      <c r="V1" s="9" t="s">
        <v>123</v>
      </c>
      <c r="W1" s="9" t="s">
        <v>124</v>
      </c>
      <c r="X1" s="9" t="s">
        <v>125</v>
      </c>
      <c r="Y1" s="9" t="s">
        <v>126</v>
      </c>
    </row>
    <row r="2" customFormat="false" ht="37.5" hidden="false" customHeight="true" outlineLevel="0" collapsed="false">
      <c r="A2" s="20" t="n">
        <f aca="false">'План месяцев F1'!A2</f>
        <v>1</v>
      </c>
      <c r="B2" s="21" t="n">
        <f aca="false">'План месяцев F1'!C2</f>
        <v>40</v>
      </c>
      <c r="C2" s="21" t="n">
        <f aca="false">B2*'Допущения F1'!$D$4</f>
        <v>14</v>
      </c>
      <c r="D2" s="21" t="n">
        <f aca="false">C2*'Допущения F1'!$D$5</f>
        <v>8.4</v>
      </c>
      <c r="E2" s="21" t="n">
        <f aca="false">D2*'Допущения F1'!$D$6</f>
        <v>2.52</v>
      </c>
      <c r="F2" s="21" t="n">
        <f aca="false">'План месяцев F1'!D2</f>
        <v>0</v>
      </c>
      <c r="G2" s="21" t="n">
        <f aca="false">0*'Допущения F1'!$D$7</f>
        <v>0</v>
      </c>
      <c r="H2" s="21" t="n">
        <f aca="false">0-G2+E2+F2</f>
        <v>2.52</v>
      </c>
      <c r="I2" s="21" t="n">
        <f aca="false">(0+H2)/2</f>
        <v>1.26</v>
      </c>
      <c r="J2" s="20" t="n">
        <f aca="false">'Допущения F1'!$D$8</f>
        <v>19900</v>
      </c>
      <c r="K2" s="22" t="n">
        <f aca="false">H2*J2</f>
        <v>50148</v>
      </c>
      <c r="L2" s="20" t="n">
        <f aca="false">'План месяцев F1'!E2*'Допущения F1'!$D$17</f>
        <v>0</v>
      </c>
      <c r="M2" s="20" t="n">
        <f aca="false">'План месяцев F1'!F2*'Допущения F1'!$D$16</f>
        <v>0</v>
      </c>
      <c r="N2" s="20" t="n">
        <f aca="false">I2*J2+L2+M2</f>
        <v>25074</v>
      </c>
      <c r="O2" s="20" t="n">
        <f aca="false">(I2*'Допущения F1'!$D$9+'План месяцев F1'!F2)*('Допущения F1'!$D$10+'План месяцев F1'!G2*'Допущения F1'!$D$11*'Допущения F1'!$D$12)+F2*J2*'Допущения F1'!$D$15+L2*'План месяцев F1'!G2</f>
        <v>9450</v>
      </c>
      <c r="P2" s="20" t="n">
        <f aca="false">N2-O2</f>
        <v>15624</v>
      </c>
      <c r="Q2" s="20" t="n">
        <f aca="false">'План месяцев F1'!H2+'Допущения F1'!$D$18</f>
        <v>30000</v>
      </c>
      <c r="R2" s="20" t="n">
        <f aca="false">U2*'Допущения F1'!$D$14</f>
        <v>1353.996</v>
      </c>
      <c r="S2" s="20" t="n">
        <f aca="false">MAX(0,'Допущения F1'!$D$19-'Допущения F1'!$D$18)</f>
        <v>60000</v>
      </c>
      <c r="T2" s="20" t="n">
        <f aca="false">P2-Q2-R2-S2</f>
        <v>-75729.996</v>
      </c>
      <c r="U2" s="20" t="n">
        <f aca="false">N2*(1-'Допущения F1'!$D$13)+(0)*'Допущения F1'!$D$13</f>
        <v>22566.6</v>
      </c>
      <c r="V2" s="20" t="n">
        <f aca="false">O2+Q2+R2</f>
        <v>40803.996</v>
      </c>
      <c r="W2" s="20" t="n">
        <f aca="false">'План месяцев F1'!I2</f>
        <v>0</v>
      </c>
      <c r="X2" s="23" t="n">
        <f aca="false">'Допущения F1'!$D$2-'Допущения F1'!$D$3+U2-V2+W2</f>
        <v>100762.604</v>
      </c>
      <c r="Y2" s="23" t="str">
        <f aca="false">IF(X2&lt;Q2*'Допущения F1'!$D$20,"НИЖЕ РЕЗЕРВА","РЕЗЕРВ ЕСТЬ")</f>
        <v>РЕЗЕРВ ЕСТЬ</v>
      </c>
    </row>
    <row r="3" customFormat="false" ht="37.5" hidden="false" customHeight="true" outlineLevel="0" collapsed="false">
      <c r="A3" s="20" t="n">
        <f aca="false">'План месяцев F1'!A3</f>
        <v>2</v>
      </c>
      <c r="B3" s="21" t="n">
        <f aca="false">'План месяцев F1'!C3</f>
        <v>60</v>
      </c>
      <c r="C3" s="21" t="n">
        <f aca="false">B3*'Допущения F1'!$D$4</f>
        <v>21</v>
      </c>
      <c r="D3" s="21" t="n">
        <f aca="false">C3*'Допущения F1'!$D$5</f>
        <v>12.6</v>
      </c>
      <c r="E3" s="21" t="n">
        <f aca="false">D3*'Допущения F1'!$D$6</f>
        <v>3.78</v>
      </c>
      <c r="F3" s="21" t="n">
        <f aca="false">'План месяцев F1'!D3</f>
        <v>0</v>
      </c>
      <c r="G3" s="21" t="n">
        <f aca="false">H2*'Допущения F1'!$D$7</f>
        <v>0.0756</v>
      </c>
      <c r="H3" s="21" t="n">
        <f aca="false">H2-G3+E3+F3</f>
        <v>6.2244</v>
      </c>
      <c r="I3" s="21" t="n">
        <f aca="false">(H2+H3)/2</f>
        <v>4.3722</v>
      </c>
      <c r="J3" s="20" t="n">
        <f aca="false">'Допущения F1'!$D$8</f>
        <v>19900</v>
      </c>
      <c r="K3" s="22" t="n">
        <f aca="false">H3*J3</f>
        <v>123865.56</v>
      </c>
      <c r="L3" s="20" t="n">
        <f aca="false">'План месяцев F1'!E3*'Допущения F1'!$D$17</f>
        <v>0</v>
      </c>
      <c r="M3" s="20" t="n">
        <f aca="false">'План месяцев F1'!F3*'Допущения F1'!$D$16</f>
        <v>0</v>
      </c>
      <c r="N3" s="20" t="n">
        <f aca="false">I3*J3+L3+M3</f>
        <v>87006.78</v>
      </c>
      <c r="O3" s="20" t="n">
        <f aca="false">(I3*'Допущения F1'!$D$9+'План месяцев F1'!F3)*('Допущения F1'!$D$10+'План месяцев F1'!G3*'Допущения F1'!$D$11*'Допущения F1'!$D$12)+F3*J3*'Допущения F1'!$D$15+L3*'План месяцев F1'!G3</f>
        <v>32791.5</v>
      </c>
      <c r="P3" s="20" t="n">
        <f aca="false">N3-O3</f>
        <v>54215.28</v>
      </c>
      <c r="Q3" s="20" t="n">
        <f aca="false">'План месяцев F1'!H3+'Допущения F1'!$D$18</f>
        <v>30000</v>
      </c>
      <c r="R3" s="20" t="n">
        <f aca="false">U3*'Допущения F1'!$D$14</f>
        <v>4848.81012</v>
      </c>
      <c r="S3" s="20" t="n">
        <f aca="false">MAX(0,'Допущения F1'!$D$19-'Допущения F1'!$D$18)</f>
        <v>60000</v>
      </c>
      <c r="T3" s="20" t="n">
        <f aca="false">P3-Q3-R3-S3</f>
        <v>-40633.53012</v>
      </c>
      <c r="U3" s="20" t="n">
        <f aca="false">N3*(1-'Допущения F1'!$D$13)+(N2)*'Допущения F1'!$D$13</f>
        <v>80813.502</v>
      </c>
      <c r="V3" s="20" t="n">
        <f aca="false">O3+Q3+R3</f>
        <v>67640.31012</v>
      </c>
      <c r="W3" s="20" t="n">
        <f aca="false">'План месяцев F1'!I3</f>
        <v>0</v>
      </c>
      <c r="X3" s="23" t="n">
        <f aca="false">X2+U3-V3+W3</f>
        <v>113935.79588</v>
      </c>
      <c r="Y3" s="23" t="str">
        <f aca="false">IF(X3&lt;Q3*'Допущения F1'!$D$20,"НИЖЕ РЕЗЕРВА","РЕЗЕРВ ЕСТЬ")</f>
        <v>РЕЗЕРВ ЕСТЬ</v>
      </c>
    </row>
    <row r="4" customFormat="false" ht="37.5" hidden="false" customHeight="true" outlineLevel="0" collapsed="false">
      <c r="A4" s="20" t="n">
        <f aca="false">'План месяцев F1'!A4</f>
        <v>3</v>
      </c>
      <c r="B4" s="21" t="n">
        <f aca="false">'План месяцев F1'!C4</f>
        <v>80</v>
      </c>
      <c r="C4" s="21" t="n">
        <f aca="false">B4*'Допущения F1'!$D$4</f>
        <v>28</v>
      </c>
      <c r="D4" s="21" t="n">
        <f aca="false">C4*'Допущения F1'!$D$5</f>
        <v>16.8</v>
      </c>
      <c r="E4" s="21" t="n">
        <f aca="false">D4*'Допущения F1'!$D$6</f>
        <v>5.04</v>
      </c>
      <c r="F4" s="21" t="n">
        <f aca="false">'План месяцев F1'!D4</f>
        <v>0</v>
      </c>
      <c r="G4" s="21" t="n">
        <f aca="false">H3*'Допущения F1'!$D$7</f>
        <v>0.186732</v>
      </c>
      <c r="H4" s="21" t="n">
        <f aca="false">H3-G4+E4+F4</f>
        <v>11.077668</v>
      </c>
      <c r="I4" s="21" t="n">
        <f aca="false">(H3+H4)/2</f>
        <v>8.651034</v>
      </c>
      <c r="J4" s="20" t="n">
        <f aca="false">'Допущения F1'!$D$8</f>
        <v>19900</v>
      </c>
      <c r="K4" s="22" t="n">
        <f aca="false">H4*J4</f>
        <v>220445.5932</v>
      </c>
      <c r="L4" s="20" t="n">
        <f aca="false">'План месяцев F1'!E4*'Допущения F1'!$D$17</f>
        <v>0</v>
      </c>
      <c r="M4" s="20" t="n">
        <f aca="false">'План месяцев F1'!F4*'Допущения F1'!$D$16</f>
        <v>0</v>
      </c>
      <c r="N4" s="20" t="n">
        <f aca="false">I4*J4+L4+M4</f>
        <v>172155.5766</v>
      </c>
      <c r="O4" s="20" t="n">
        <f aca="false">(I4*'Допущения F1'!$D$9+'План месяцев F1'!F4)*('Допущения F1'!$D$10+'План месяцев F1'!G4*'Допущения F1'!$D$11*'Допущения F1'!$D$12)+F4*J4*'Допущения F1'!$D$15+L4*'План месяцев F1'!G4</f>
        <v>64882.755</v>
      </c>
      <c r="P4" s="20" t="n">
        <f aca="false">N4-O4</f>
        <v>107272.8216</v>
      </c>
      <c r="Q4" s="20" t="n">
        <f aca="false">'План месяцев F1'!H4+'Допущения F1'!$D$18</f>
        <v>30000</v>
      </c>
      <c r="R4" s="20" t="n">
        <f aca="false">U4*'Допущения F1'!$D$14</f>
        <v>9818.4418164</v>
      </c>
      <c r="S4" s="20" t="n">
        <f aca="false">MAX(0,'Допущения F1'!$D$19-'Допущения F1'!$D$18)</f>
        <v>60000</v>
      </c>
      <c r="T4" s="20" t="n">
        <f aca="false">P4-Q4-R4-S4</f>
        <v>7454.37978359999</v>
      </c>
      <c r="U4" s="20" t="n">
        <f aca="false">N4*(1-'Допущения F1'!$D$13)+(N3)*'Допущения F1'!$D$13</f>
        <v>163640.69694</v>
      </c>
      <c r="V4" s="20" t="n">
        <f aca="false">O4+Q4+R4</f>
        <v>104701.1968164</v>
      </c>
      <c r="W4" s="20" t="n">
        <f aca="false">'План месяцев F1'!I4</f>
        <v>0</v>
      </c>
      <c r="X4" s="23" t="n">
        <f aca="false">X3+U4-V4+W4</f>
        <v>172875.2960036</v>
      </c>
      <c r="Y4" s="23" t="str">
        <f aca="false">IF(X4&lt;Q4*'Допущения F1'!$D$20,"НИЖЕ РЕЗЕРВА","РЕЗЕРВ ЕСТЬ")</f>
        <v>РЕЗЕРВ ЕСТЬ</v>
      </c>
    </row>
    <row r="5" customFormat="false" ht="37.5" hidden="false" customHeight="true" outlineLevel="0" collapsed="false">
      <c r="A5" s="20" t="n">
        <f aca="false">'План месяцев F1'!A5</f>
        <v>4</v>
      </c>
      <c r="B5" s="21" t="n">
        <f aca="false">'План месяцев F1'!C5</f>
        <v>100</v>
      </c>
      <c r="C5" s="21" t="n">
        <f aca="false">B5*'Допущения F1'!$D$4</f>
        <v>35</v>
      </c>
      <c r="D5" s="21" t="n">
        <f aca="false">C5*'Допущения F1'!$D$5</f>
        <v>21</v>
      </c>
      <c r="E5" s="21" t="n">
        <f aca="false">D5*'Допущения F1'!$D$6</f>
        <v>6.3</v>
      </c>
      <c r="F5" s="21" t="n">
        <f aca="false">'План месяцев F1'!D5</f>
        <v>0</v>
      </c>
      <c r="G5" s="21" t="n">
        <f aca="false">H4*'Допущения F1'!$D$7</f>
        <v>0.33233004</v>
      </c>
      <c r="H5" s="21" t="n">
        <f aca="false">H4-G5+E5+F5</f>
        <v>17.04533796</v>
      </c>
      <c r="I5" s="21" t="n">
        <f aca="false">(H4+H5)/2</f>
        <v>14.06150298</v>
      </c>
      <c r="J5" s="20" t="n">
        <f aca="false">'Допущения F1'!$D$8</f>
        <v>19900</v>
      </c>
      <c r="K5" s="22" t="n">
        <f aca="false">H5*J5</f>
        <v>339202.225404</v>
      </c>
      <c r="L5" s="20" t="n">
        <f aca="false">'План месяцев F1'!E5*'Допущения F1'!$D$17</f>
        <v>0</v>
      </c>
      <c r="M5" s="20" t="n">
        <f aca="false">'План месяцев F1'!F5*'Допущения F1'!$D$16</f>
        <v>0</v>
      </c>
      <c r="N5" s="20" t="n">
        <f aca="false">I5*J5+L5+M5</f>
        <v>279823.909302</v>
      </c>
      <c r="O5" s="20" t="n">
        <f aca="false">(I5*'Допущения F1'!$D$9+'План месяцев F1'!F5)*('Допущения F1'!$D$10+'План месяцев F1'!G5*'Допущения F1'!$D$11*'Допущения F1'!$D$12)+F5*J5*'Допущения F1'!$D$15+L5*'План месяцев F1'!G5</f>
        <v>105461.27235</v>
      </c>
      <c r="P5" s="20" t="n">
        <f aca="false">N5-O5</f>
        <v>174362.636952</v>
      </c>
      <c r="Q5" s="20" t="n">
        <f aca="false">'План месяцев F1'!H5+'Допущения F1'!$D$18</f>
        <v>40000</v>
      </c>
      <c r="R5" s="20" t="n">
        <f aca="false">U5*'Допущения F1'!$D$14</f>
        <v>16143.424561908</v>
      </c>
      <c r="S5" s="20" t="n">
        <f aca="false">MAX(0,'Допущения F1'!$D$19-'Допущения F1'!$D$18)</f>
        <v>60000</v>
      </c>
      <c r="T5" s="20" t="n">
        <f aca="false">P5-Q5-R5-S5</f>
        <v>58219.212390092</v>
      </c>
      <c r="U5" s="20" t="n">
        <f aca="false">N5*(1-'Допущения F1'!$D$13)+(N4)*'Допущения F1'!$D$13</f>
        <v>269057.0760318</v>
      </c>
      <c r="V5" s="20" t="n">
        <f aca="false">O5+Q5+R5</f>
        <v>161604.696911908</v>
      </c>
      <c r="W5" s="20" t="n">
        <f aca="false">'План месяцев F1'!I5</f>
        <v>0</v>
      </c>
      <c r="X5" s="23" t="n">
        <f aca="false">X4+U5-V5+W5</f>
        <v>280327.675123492</v>
      </c>
      <c r="Y5" s="23" t="str">
        <f aca="false">IF(X5&lt;Q5*'Допущения F1'!$D$20,"НИЖЕ РЕЗЕРВА","РЕЗЕРВ ЕСТЬ")</f>
        <v>РЕЗЕРВ ЕСТЬ</v>
      </c>
    </row>
    <row r="6" customFormat="false" ht="37.5" hidden="false" customHeight="true" outlineLevel="0" collapsed="false">
      <c r="A6" s="20" t="n">
        <f aca="false">'План месяцев F1'!A6</f>
        <v>5</v>
      </c>
      <c r="B6" s="21" t="n">
        <f aca="false">'План месяцев F1'!C6</f>
        <v>120</v>
      </c>
      <c r="C6" s="21" t="n">
        <f aca="false">B6*'Допущения F1'!$D$4</f>
        <v>42</v>
      </c>
      <c r="D6" s="21" t="n">
        <f aca="false">C6*'Допущения F1'!$D$5</f>
        <v>25.2</v>
      </c>
      <c r="E6" s="21" t="n">
        <f aca="false">D6*'Допущения F1'!$D$6</f>
        <v>7.56</v>
      </c>
      <c r="F6" s="21" t="n">
        <f aca="false">'План месяцев F1'!D6</f>
        <v>0</v>
      </c>
      <c r="G6" s="21" t="n">
        <f aca="false">H5*'Допущения F1'!$D$7</f>
        <v>0.5113601388</v>
      </c>
      <c r="H6" s="21" t="n">
        <f aca="false">H5-G6+E6+F6</f>
        <v>24.0939778212</v>
      </c>
      <c r="I6" s="21" t="n">
        <f aca="false">(H5+H6)/2</f>
        <v>20.5696578906</v>
      </c>
      <c r="J6" s="20" t="n">
        <f aca="false">'Допущения F1'!$D$8</f>
        <v>19900</v>
      </c>
      <c r="K6" s="22" t="n">
        <f aca="false">H6*J6</f>
        <v>479470.15864188</v>
      </c>
      <c r="L6" s="20" t="n">
        <f aca="false">'План месяцев F1'!E6*'Допущения F1'!$D$17</f>
        <v>0</v>
      </c>
      <c r="M6" s="20" t="n">
        <f aca="false">'План месяцев F1'!F6*'Допущения F1'!$D$16</f>
        <v>0</v>
      </c>
      <c r="N6" s="20" t="n">
        <f aca="false">I6*J6+L6+M6</f>
        <v>409336.19202294</v>
      </c>
      <c r="O6" s="20" t="n">
        <f aca="false">(I6*'Допущения F1'!$D$9+'План месяцев F1'!F6)*('Допущения F1'!$D$10+'План месяцев F1'!G6*'Допущения F1'!$D$11*'Допущения F1'!$D$12)+F6*J6*'Допущения F1'!$D$15+L6*'План месяцев F1'!G6</f>
        <v>154272.4341795</v>
      </c>
      <c r="P6" s="20" t="n">
        <f aca="false">N6-O6</f>
        <v>255063.75784344</v>
      </c>
      <c r="Q6" s="20" t="n">
        <f aca="false">'План месяцев F1'!H6+'Допущения F1'!$D$18</f>
        <v>40000</v>
      </c>
      <c r="R6" s="20" t="n">
        <f aca="false">U6*'Допущения F1'!$D$14</f>
        <v>23783.0978250508</v>
      </c>
      <c r="S6" s="20" t="n">
        <f aca="false">MAX(0,'Допущения F1'!$D$19-'Допущения F1'!$D$18)</f>
        <v>60000</v>
      </c>
      <c r="T6" s="20" t="n">
        <f aca="false">P6-Q6-R6-S6</f>
        <v>131280.660018389</v>
      </c>
      <c r="U6" s="20" t="n">
        <f aca="false">N6*(1-'Допущения F1'!$D$13)+(N5)*'Допущения F1'!$D$13</f>
        <v>396384.963750846</v>
      </c>
      <c r="V6" s="20" t="n">
        <f aca="false">O6+Q6+R6</f>
        <v>218055.532004551</v>
      </c>
      <c r="W6" s="20" t="n">
        <f aca="false">'План месяцев F1'!I6</f>
        <v>0</v>
      </c>
      <c r="X6" s="23" t="n">
        <f aca="false">X5+U6-V6+W6</f>
        <v>458657.106869787</v>
      </c>
      <c r="Y6" s="23" t="str">
        <f aca="false">IF(X6&lt;Q6*'Допущения F1'!$D$20,"НИЖЕ РЕЗЕРВА","РЕЗЕРВ ЕСТЬ")</f>
        <v>РЕЗЕРВ ЕСТЬ</v>
      </c>
    </row>
    <row r="7" customFormat="false" ht="37.5" hidden="false" customHeight="true" outlineLevel="0" collapsed="false">
      <c r="A7" s="20" t="n">
        <f aca="false">'План месяцев F1'!A7</f>
        <v>6</v>
      </c>
      <c r="B7" s="21" t="n">
        <f aca="false">'План месяцев F1'!C7</f>
        <v>140</v>
      </c>
      <c r="C7" s="21" t="n">
        <f aca="false">B7*'Допущения F1'!$D$4</f>
        <v>49</v>
      </c>
      <c r="D7" s="21" t="n">
        <f aca="false">C7*'Допущения F1'!$D$5</f>
        <v>29.4</v>
      </c>
      <c r="E7" s="21" t="n">
        <f aca="false">D7*'Допущения F1'!$D$6</f>
        <v>8.82</v>
      </c>
      <c r="F7" s="21" t="n">
        <f aca="false">'План месяцев F1'!D7</f>
        <v>0</v>
      </c>
      <c r="G7" s="21" t="n">
        <f aca="false">H6*'Допущения F1'!$D$7</f>
        <v>0.722819334636</v>
      </c>
      <c r="H7" s="21" t="n">
        <f aca="false">H6-G7+E7+F7</f>
        <v>32.191158486564</v>
      </c>
      <c r="I7" s="21" t="n">
        <f aca="false">(H6+H7)/2</f>
        <v>28.142568153882</v>
      </c>
      <c r="J7" s="20" t="n">
        <f aca="false">'Допущения F1'!$D$8</f>
        <v>19900</v>
      </c>
      <c r="K7" s="22" t="n">
        <f aca="false">H7*J7</f>
        <v>640604.053882623</v>
      </c>
      <c r="L7" s="20" t="n">
        <f aca="false">'План месяцев F1'!E7*'Допущения F1'!$D$17</f>
        <v>0</v>
      </c>
      <c r="M7" s="20" t="n">
        <f aca="false">'План месяцев F1'!F7*'Допущения F1'!$D$16</f>
        <v>0</v>
      </c>
      <c r="N7" s="20" t="n">
        <f aca="false">I7*J7+L7+M7</f>
        <v>560037.106262252</v>
      </c>
      <c r="O7" s="20" t="n">
        <f aca="false">(I7*'Допущения F1'!$D$9+'План месяцев F1'!F7)*('Допущения F1'!$D$10+'План месяцев F1'!G7*'Допущения F1'!$D$11*'Допущения F1'!$D$12)+F7*J7*'Допущения F1'!$D$15+L7*'План месяцев F1'!G7</f>
        <v>211069.261154115</v>
      </c>
      <c r="P7" s="20" t="n">
        <f aca="false">N7-O7</f>
        <v>348967.845108137</v>
      </c>
      <c r="Q7" s="20" t="n">
        <f aca="false">'План месяцев F1'!H7+'Допущения F1'!$D$18</f>
        <v>40000</v>
      </c>
      <c r="R7" s="20" t="n">
        <f aca="false">U7*'Допущения F1'!$D$14</f>
        <v>32698.0208902992</v>
      </c>
      <c r="S7" s="20" t="n">
        <f aca="false">MAX(0,'Допущения F1'!$D$19-'Допущения F1'!$D$18)</f>
        <v>60000</v>
      </c>
      <c r="T7" s="20" t="n">
        <f aca="false">P7-Q7-R7-S7</f>
        <v>216269.824217838</v>
      </c>
      <c r="U7" s="20" t="n">
        <f aca="false">N7*(1-'Допущения F1'!$D$13)+(N6)*'Допущения F1'!$D$13</f>
        <v>544967.014838321</v>
      </c>
      <c r="V7" s="20" t="n">
        <f aca="false">O7+Q7+R7</f>
        <v>283767.282044414</v>
      </c>
      <c r="W7" s="20" t="n">
        <f aca="false">'План месяцев F1'!I7</f>
        <v>0</v>
      </c>
      <c r="X7" s="23" t="n">
        <f aca="false">X6+U7-V7+W7</f>
        <v>719856.839663693</v>
      </c>
      <c r="Y7" s="23" t="str">
        <f aca="false">IF(X7&lt;Q7*'Допущения F1'!$D$20,"НИЖЕ РЕЗЕРВА","РЕЗЕРВ ЕСТЬ")</f>
        <v>РЕЗЕРВ ЕСТЬ</v>
      </c>
    </row>
    <row r="8" customFormat="false" ht="37.5" hidden="false" customHeight="true" outlineLevel="0" collapsed="false">
      <c r="A8" s="20" t="n">
        <f aca="false">'План месяцев F1'!A8</f>
        <v>7</v>
      </c>
      <c r="B8" s="21" t="n">
        <f aca="false">'План месяцев F1'!C8</f>
        <v>160</v>
      </c>
      <c r="C8" s="21" t="n">
        <f aca="false">B8*'Допущения F1'!$D$4</f>
        <v>56</v>
      </c>
      <c r="D8" s="21" t="n">
        <f aca="false">C8*'Допущения F1'!$D$5</f>
        <v>33.6</v>
      </c>
      <c r="E8" s="21" t="n">
        <f aca="false">D8*'Допущения F1'!$D$6</f>
        <v>10.08</v>
      </c>
      <c r="F8" s="21" t="n">
        <f aca="false">'План месяцев F1'!D8</f>
        <v>0</v>
      </c>
      <c r="G8" s="21" t="n">
        <f aca="false">H7*'Допущения F1'!$D$7</f>
        <v>0.96573475459692</v>
      </c>
      <c r="H8" s="21" t="n">
        <f aca="false">H7-G8+E8+F8</f>
        <v>41.3054237319671</v>
      </c>
      <c r="I8" s="21" t="n">
        <f aca="false">(H7+H8)/2</f>
        <v>36.7482911092655</v>
      </c>
      <c r="J8" s="20" t="n">
        <f aca="false">'Допущения F1'!$D$8</f>
        <v>19900</v>
      </c>
      <c r="K8" s="22" t="n">
        <f aca="false">H8*J8</f>
        <v>821977.932266145</v>
      </c>
      <c r="L8" s="20" t="n">
        <f aca="false">'План месяцев F1'!E8*'Допущения F1'!$D$17</f>
        <v>0</v>
      </c>
      <c r="M8" s="20" t="n">
        <f aca="false">'План месяцев F1'!F8*'Допущения F1'!$D$16</f>
        <v>0</v>
      </c>
      <c r="N8" s="20" t="n">
        <f aca="false">I8*J8+L8+M8</f>
        <v>731290.993074384</v>
      </c>
      <c r="O8" s="20" t="n">
        <f aca="false">(I8*'Допущения F1'!$D$9+'План месяцев F1'!F8)*('Допущения F1'!$D$10+'План месяцев F1'!G8*'Допущения F1'!$D$11*'Допущения F1'!$D$12)+F8*J8*'Допущения F1'!$D$15+L8*'План месяцев F1'!G8</f>
        <v>275612.183319492</v>
      </c>
      <c r="P8" s="20" t="n">
        <f aca="false">N8-O8</f>
        <v>455678.809754893</v>
      </c>
      <c r="Q8" s="20" t="n">
        <f aca="false">'План месяцев F1'!H8+'Допущения F1'!$D$18</f>
        <v>50000</v>
      </c>
      <c r="R8" s="20" t="n">
        <f aca="false">U8*'Допущения F1'!$D$14</f>
        <v>42849.9362635903</v>
      </c>
      <c r="S8" s="20" t="n">
        <f aca="false">MAX(0,'Допущения F1'!$D$19-'Допущения F1'!$D$18)</f>
        <v>60000</v>
      </c>
      <c r="T8" s="20" t="n">
        <f aca="false">P8-Q8-R8-S8</f>
        <v>302828.873491302</v>
      </c>
      <c r="U8" s="20" t="n">
        <f aca="false">N8*(1-'Допущения F1'!$D$13)+(N7)*'Допущения F1'!$D$13</f>
        <v>714165.604393171</v>
      </c>
      <c r="V8" s="20" t="n">
        <f aca="false">O8+Q8+R8</f>
        <v>368462.119583082</v>
      </c>
      <c r="W8" s="20" t="n">
        <f aca="false">'План месяцев F1'!I8</f>
        <v>0</v>
      </c>
      <c r="X8" s="23" t="n">
        <f aca="false">X7+U8-V8+W8</f>
        <v>1065560.32447378</v>
      </c>
      <c r="Y8" s="23" t="str">
        <f aca="false">IF(X8&lt;Q8*'Допущения F1'!$D$20,"НИЖЕ РЕЗЕРВА","РЕЗЕРВ ЕСТЬ")</f>
        <v>РЕЗЕРВ ЕСТЬ</v>
      </c>
    </row>
    <row r="9" customFormat="false" ht="37.5" hidden="false" customHeight="true" outlineLevel="0" collapsed="false">
      <c r="A9" s="20" t="n">
        <f aca="false">'План месяцев F1'!A9</f>
        <v>8</v>
      </c>
      <c r="B9" s="21" t="n">
        <f aca="false">'План месяцев F1'!C9</f>
        <v>180</v>
      </c>
      <c r="C9" s="21" t="n">
        <f aca="false">B9*'Допущения F1'!$D$4</f>
        <v>63</v>
      </c>
      <c r="D9" s="21" t="n">
        <f aca="false">C9*'Допущения F1'!$D$5</f>
        <v>37.8</v>
      </c>
      <c r="E9" s="21" t="n">
        <f aca="false">D9*'Допущения F1'!$D$6</f>
        <v>11.34</v>
      </c>
      <c r="F9" s="21" t="n">
        <f aca="false">'План месяцев F1'!D9</f>
        <v>0</v>
      </c>
      <c r="G9" s="21" t="n">
        <f aca="false">H8*'Допущения F1'!$D$7</f>
        <v>1.23916271195901</v>
      </c>
      <c r="H9" s="21" t="n">
        <f aca="false">H8-G9+E9+F9</f>
        <v>51.4062610200081</v>
      </c>
      <c r="I9" s="21" t="n">
        <f aca="false">(H8+H9)/2</f>
        <v>46.3558423759876</v>
      </c>
      <c r="J9" s="20" t="n">
        <f aca="false">'Допущения F1'!$D$8</f>
        <v>19900</v>
      </c>
      <c r="K9" s="22" t="n">
        <f aca="false">H9*J9</f>
        <v>1022984.59429816</v>
      </c>
      <c r="L9" s="20" t="n">
        <f aca="false">'План месяцев F1'!E9*'Допущения F1'!$D$17</f>
        <v>0</v>
      </c>
      <c r="M9" s="20" t="n">
        <f aca="false">'План месяцев F1'!F9*'Допущения F1'!$D$16</f>
        <v>0</v>
      </c>
      <c r="N9" s="20" t="n">
        <f aca="false">I9*J9+L9+M9</f>
        <v>922481.263282153</v>
      </c>
      <c r="O9" s="20" t="n">
        <f aca="false">(I9*'Допущения F1'!$D$9+'План месяцев F1'!F9)*('Допущения F1'!$D$10+'План месяцев F1'!G9*'Допущения F1'!$D$11*'Допущения F1'!$D$12)+F9*J9*'Допущения F1'!$D$15+L9*'План месяцев F1'!G9</f>
        <v>347668.817819907</v>
      </c>
      <c r="P9" s="20" t="n">
        <f aca="false">N9-O9</f>
        <v>574812.445462246</v>
      </c>
      <c r="Q9" s="20" t="n">
        <f aca="false">'План месяцев F1'!H9+'Допущения F1'!$D$18</f>
        <v>50000</v>
      </c>
      <c r="R9" s="20" t="n">
        <f aca="false">U9*'Допущения F1'!$D$14</f>
        <v>54201.7341756825</v>
      </c>
      <c r="S9" s="20" t="n">
        <f aca="false">MAX(0,'Допущения F1'!$D$19-'Допущения F1'!$D$18)</f>
        <v>60000</v>
      </c>
      <c r="T9" s="20" t="n">
        <f aca="false">P9-Q9-R9-S9</f>
        <v>410610.711286563</v>
      </c>
      <c r="U9" s="20" t="n">
        <f aca="false">N9*(1-'Допущения F1'!$D$13)+(N8)*'Допущения F1'!$D$13</f>
        <v>903362.236261376</v>
      </c>
      <c r="V9" s="20" t="n">
        <f aca="false">O9+Q9+R9</f>
        <v>451870.551995589</v>
      </c>
      <c r="W9" s="20" t="n">
        <f aca="false">'План месяцев F1'!I9</f>
        <v>0</v>
      </c>
      <c r="X9" s="23" t="n">
        <f aca="false">X8+U9-V9+W9</f>
        <v>1517052.00873957</v>
      </c>
      <c r="Y9" s="23" t="str">
        <f aca="false">IF(X9&lt;Q9*'Допущения F1'!$D$20,"НИЖЕ РЕЗЕРВА","РЕЗЕРВ ЕСТЬ")</f>
        <v>РЕЗЕРВ ЕСТЬ</v>
      </c>
    </row>
    <row r="10" customFormat="false" ht="37.5" hidden="false" customHeight="true" outlineLevel="0" collapsed="false">
      <c r="A10" s="20" t="n">
        <f aca="false">'План месяцев F1'!A10</f>
        <v>9</v>
      </c>
      <c r="B10" s="21" t="n">
        <f aca="false">'План месяцев F1'!C10</f>
        <v>200</v>
      </c>
      <c r="C10" s="21" t="n">
        <f aca="false">B10*'Допущения F1'!$D$4</f>
        <v>70</v>
      </c>
      <c r="D10" s="21" t="n">
        <f aca="false">C10*'Допущения F1'!$D$5</f>
        <v>42</v>
      </c>
      <c r="E10" s="21" t="n">
        <f aca="false">D10*'Допущения F1'!$D$6</f>
        <v>12.6</v>
      </c>
      <c r="F10" s="21" t="n">
        <f aca="false">'План месяцев F1'!D10</f>
        <v>0</v>
      </c>
      <c r="G10" s="21" t="n">
        <f aca="false">H9*'Допущения F1'!$D$7</f>
        <v>1.54218783060024</v>
      </c>
      <c r="H10" s="21" t="n">
        <f aca="false">H9-G10+E10+F10</f>
        <v>62.4640731894078</v>
      </c>
      <c r="I10" s="21" t="n">
        <f aca="false">(H9+H10)/2</f>
        <v>56.9351671047079</v>
      </c>
      <c r="J10" s="20" t="n">
        <f aca="false">'Допущения F1'!$D$8</f>
        <v>19900</v>
      </c>
      <c r="K10" s="22" t="n">
        <f aca="false">H10*J10</f>
        <v>1243035.05646922</v>
      </c>
      <c r="L10" s="20" t="n">
        <f aca="false">'План месяцев F1'!E10*'Допущения F1'!$D$17</f>
        <v>0</v>
      </c>
      <c r="M10" s="20" t="n">
        <f aca="false">'План месяцев F1'!F10*'Допущения F1'!$D$16</f>
        <v>0</v>
      </c>
      <c r="N10" s="20" t="n">
        <f aca="false">I10*J10+L10+M10</f>
        <v>1133009.82538369</v>
      </c>
      <c r="O10" s="20" t="n">
        <f aca="false">(I10*'Допущения F1'!$D$9+'План месяцев F1'!F10)*('Допущения F1'!$D$10+'План месяцев F1'!G10*'Допущения F1'!$D$11*'Допущения F1'!$D$12)+F10*J10*'Допущения F1'!$D$15+L10*'План месяцев F1'!G10</f>
        <v>427013.75328531</v>
      </c>
      <c r="P10" s="20" t="n">
        <f aca="false">N10-O10</f>
        <v>705996.072098379</v>
      </c>
      <c r="Q10" s="20" t="n">
        <f aca="false">'План месяцев F1'!H10+'Допущения F1'!$D$18</f>
        <v>50000</v>
      </c>
      <c r="R10" s="20" t="n">
        <f aca="false">U10*'Допущения F1'!$D$14</f>
        <v>66717.4181504121</v>
      </c>
      <c r="S10" s="20" t="n">
        <f aca="false">MAX(0,'Допущения F1'!$D$19-'Допущения F1'!$D$18)</f>
        <v>60000</v>
      </c>
      <c r="T10" s="20" t="n">
        <f aca="false">P10-Q10-R10-S10</f>
        <v>529278.653947967</v>
      </c>
      <c r="U10" s="20" t="n">
        <f aca="false">N10*(1-'Допущения F1'!$D$13)+(N9)*'Допущения F1'!$D$13</f>
        <v>1111956.96917353</v>
      </c>
      <c r="V10" s="20" t="n">
        <f aca="false">O10+Q10+R10</f>
        <v>543731.171435722</v>
      </c>
      <c r="W10" s="20" t="n">
        <f aca="false">'План месяцев F1'!I10</f>
        <v>0</v>
      </c>
      <c r="X10" s="23" t="n">
        <f aca="false">X9+U10-V10+W10</f>
        <v>2085277.80647738</v>
      </c>
      <c r="Y10" s="23" t="str">
        <f aca="false">IF(X10&lt;Q10*'Допущения F1'!$D$20,"НИЖЕ РЕЗЕРВА","РЕЗЕРВ ЕСТЬ")</f>
        <v>РЕЗЕРВ ЕСТЬ</v>
      </c>
    </row>
    <row r="11" customFormat="false" ht="37.5" hidden="false" customHeight="true" outlineLevel="0" collapsed="false">
      <c r="A11" s="20" t="n">
        <f aca="false">'План месяцев F1'!A11</f>
        <v>10</v>
      </c>
      <c r="B11" s="21" t="n">
        <f aca="false">'План месяцев F1'!C11</f>
        <v>220</v>
      </c>
      <c r="C11" s="21" t="n">
        <f aca="false">B11*'Допущения F1'!$D$4</f>
        <v>77</v>
      </c>
      <c r="D11" s="21" t="n">
        <f aca="false">C11*'Допущения F1'!$D$5</f>
        <v>46.2</v>
      </c>
      <c r="E11" s="21" t="n">
        <f aca="false">D11*'Допущения F1'!$D$6</f>
        <v>13.86</v>
      </c>
      <c r="F11" s="21" t="n">
        <f aca="false">'План месяцев F1'!D11</f>
        <v>0</v>
      </c>
      <c r="G11" s="21" t="n">
        <f aca="false">H10*'Допущения F1'!$D$7</f>
        <v>1.87392219568223</v>
      </c>
      <c r="H11" s="21" t="n">
        <f aca="false">H10-G11+E11+F11</f>
        <v>74.4501509937256</v>
      </c>
      <c r="I11" s="21" t="n">
        <f aca="false">(H10+H11)/2</f>
        <v>68.4571120915667</v>
      </c>
      <c r="J11" s="20" t="n">
        <f aca="false">'Допущения F1'!$D$8</f>
        <v>19900</v>
      </c>
      <c r="K11" s="22" t="n">
        <f aca="false">H11*J11</f>
        <v>1481558.00477514</v>
      </c>
      <c r="L11" s="20" t="n">
        <f aca="false">'План месяцев F1'!E11*'Допущения F1'!$D$17</f>
        <v>0</v>
      </c>
      <c r="M11" s="20" t="n">
        <f aca="false">'План месяцев F1'!F11*'Допущения F1'!$D$16</f>
        <v>0</v>
      </c>
      <c r="N11" s="20" t="n">
        <f aca="false">I11*J11+L11+M11</f>
        <v>1362296.53062218</v>
      </c>
      <c r="O11" s="20" t="n">
        <f aca="false">(I11*'Допущения F1'!$D$9+'План месяцев F1'!F11)*('Допущения F1'!$D$10+'План месяцев F1'!G11*'Допущения F1'!$D$11*'Допущения F1'!$D$12)+F11*J11*'Допущения F1'!$D$15+L11*'План месяцев F1'!G11</f>
        <v>513428.34068675</v>
      </c>
      <c r="P11" s="20" t="n">
        <f aca="false">N11-O11</f>
        <v>848868.189935427</v>
      </c>
      <c r="Q11" s="20" t="n">
        <f aca="false">'План месяцев F1'!H11+'Допущения F1'!$D$18</f>
        <v>60000</v>
      </c>
      <c r="R11" s="20" t="n">
        <f aca="false">U11*'Допущения F1'!$D$14</f>
        <v>80362.0716058997</v>
      </c>
      <c r="S11" s="20" t="n">
        <f aca="false">MAX(0,'Допущения F1'!$D$19-'Допущения F1'!$D$18)</f>
        <v>60000</v>
      </c>
      <c r="T11" s="20" t="n">
        <f aca="false">P11-Q11-R11-S11</f>
        <v>648506.118329527</v>
      </c>
      <c r="U11" s="20" t="n">
        <f aca="false">N11*(1-'Допущения F1'!$D$13)+(N10)*'Допущения F1'!$D$13</f>
        <v>1339367.86009833</v>
      </c>
      <c r="V11" s="20" t="n">
        <f aca="false">O11+Q11+R11</f>
        <v>653790.41229265</v>
      </c>
      <c r="W11" s="20" t="n">
        <f aca="false">'План месяцев F1'!I11</f>
        <v>0</v>
      </c>
      <c r="X11" s="23" t="n">
        <f aca="false">X10+U11-V11+W11</f>
        <v>2770855.25428306</v>
      </c>
      <c r="Y11" s="23" t="str">
        <f aca="false">IF(X11&lt;Q11*'Допущения F1'!$D$20,"НИЖЕ РЕЗЕРВА","РЕЗЕРВ ЕСТЬ")</f>
        <v>РЕЗЕРВ ЕСТЬ</v>
      </c>
    </row>
    <row r="12" customFormat="false" ht="37.5" hidden="false" customHeight="true" outlineLevel="0" collapsed="false">
      <c r="A12" s="20" t="n">
        <f aca="false">'План месяцев F1'!A12</f>
        <v>11</v>
      </c>
      <c r="B12" s="21" t="n">
        <f aca="false">'План месяцев F1'!C12</f>
        <v>240</v>
      </c>
      <c r="C12" s="21" t="n">
        <f aca="false">B12*'Допущения F1'!$D$4</f>
        <v>84</v>
      </c>
      <c r="D12" s="21" t="n">
        <f aca="false">C12*'Допущения F1'!$D$5</f>
        <v>50.4</v>
      </c>
      <c r="E12" s="21" t="n">
        <f aca="false">D12*'Допущения F1'!$D$6</f>
        <v>15.12</v>
      </c>
      <c r="F12" s="21" t="n">
        <f aca="false">'План месяцев F1'!D12</f>
        <v>0</v>
      </c>
      <c r="G12" s="21" t="n">
        <f aca="false">H11*'Допущения F1'!$D$7</f>
        <v>2.23350452981177</v>
      </c>
      <c r="H12" s="21" t="n">
        <f aca="false">H11-G12+E12+F12</f>
        <v>87.3366464639138</v>
      </c>
      <c r="I12" s="21" t="n">
        <f aca="false">(H11+H12)/2</f>
        <v>80.8933987288197</v>
      </c>
      <c r="J12" s="20" t="n">
        <f aca="false">'Допущения F1'!$D$8</f>
        <v>19900</v>
      </c>
      <c r="K12" s="22" t="n">
        <f aca="false">H12*J12</f>
        <v>1737999.26463189</v>
      </c>
      <c r="L12" s="20" t="n">
        <f aca="false">'План месяцев F1'!E12*'Допущения F1'!$D$17</f>
        <v>0</v>
      </c>
      <c r="M12" s="20" t="n">
        <f aca="false">'План месяцев F1'!F12*'Допущения F1'!$D$16</f>
        <v>0</v>
      </c>
      <c r="N12" s="20" t="n">
        <f aca="false">I12*J12+L12+M12</f>
        <v>1609778.63470351</v>
      </c>
      <c r="O12" s="20" t="n">
        <f aca="false">(I12*'Допущения F1'!$D$9+'План месяцев F1'!F12)*('Допущения F1'!$D$10+'План месяцев F1'!G12*'Допущения F1'!$D$11*'Допущения F1'!$D$12)+F12*J12*'Допущения F1'!$D$15+L12*'План месяцев F1'!G12</f>
        <v>606700.490466148</v>
      </c>
      <c r="P12" s="20" t="n">
        <f aca="false">N12-O12</f>
        <v>1003078.14423736</v>
      </c>
      <c r="Q12" s="20" t="n">
        <f aca="false">'План месяцев F1'!H12+'Допущения F1'!$D$18</f>
        <v>60000</v>
      </c>
      <c r="R12" s="20" t="n">
        <f aca="false">U12*'Допущения F1'!$D$14</f>
        <v>95101.8254577227</v>
      </c>
      <c r="S12" s="20" t="n">
        <f aca="false">MAX(0,'Допущения F1'!$D$19-'Допущения F1'!$D$18)</f>
        <v>60000</v>
      </c>
      <c r="T12" s="20" t="n">
        <f aca="false">P12-Q12-R12-S12</f>
        <v>787976.318779642</v>
      </c>
      <c r="U12" s="20" t="n">
        <f aca="false">N12*(1-'Допущения F1'!$D$13)+(N11)*'Допущения F1'!$D$13</f>
        <v>1585030.42429538</v>
      </c>
      <c r="V12" s="20" t="n">
        <f aca="false">O12+Q12+R12</f>
        <v>761802.315923871</v>
      </c>
      <c r="W12" s="20" t="n">
        <f aca="false">'План месяцев F1'!I12</f>
        <v>0</v>
      </c>
      <c r="X12" s="23" t="n">
        <f aca="false">X11+U12-V12+W12</f>
        <v>3594083.36265457</v>
      </c>
      <c r="Y12" s="23" t="str">
        <f aca="false">IF(X12&lt;Q12*'Допущения F1'!$D$20,"НИЖЕ РЕЗЕРВА","РЕЗЕРВ ЕСТЬ")</f>
        <v>РЕЗЕРВ ЕСТЬ</v>
      </c>
    </row>
    <row r="13" customFormat="false" ht="37.5" hidden="false" customHeight="true" outlineLevel="0" collapsed="false">
      <c r="A13" s="20" t="n">
        <f aca="false">'План месяцев F1'!A13</f>
        <v>12</v>
      </c>
      <c r="B13" s="21" t="n">
        <f aca="false">'План месяцев F1'!C13</f>
        <v>260</v>
      </c>
      <c r="C13" s="21" t="n">
        <f aca="false">B13*'Допущения F1'!$D$4</f>
        <v>91</v>
      </c>
      <c r="D13" s="21" t="n">
        <f aca="false">C13*'Допущения F1'!$D$5</f>
        <v>54.6</v>
      </c>
      <c r="E13" s="21" t="n">
        <f aca="false">D13*'Допущения F1'!$D$6</f>
        <v>16.38</v>
      </c>
      <c r="F13" s="21" t="n">
        <f aca="false">'План месяцев F1'!D13</f>
        <v>0</v>
      </c>
      <c r="G13" s="21" t="n">
        <f aca="false">H12*'Допущения F1'!$D$7</f>
        <v>2.62009939391741</v>
      </c>
      <c r="H13" s="21" t="n">
        <f aca="false">H12-G13+E13+F13</f>
        <v>101.096547069996</v>
      </c>
      <c r="I13" s="21" t="n">
        <f aca="false">(H12+H13)/2</f>
        <v>94.2165967669551</v>
      </c>
      <c r="J13" s="20" t="n">
        <f aca="false">'Допущения F1'!$D$8</f>
        <v>19900</v>
      </c>
      <c r="K13" s="22" t="n">
        <f aca="false">H13*J13</f>
        <v>2011821.28669293</v>
      </c>
      <c r="L13" s="20" t="n">
        <f aca="false">'План месяцев F1'!E13*'Допущения F1'!$D$17</f>
        <v>0</v>
      </c>
      <c r="M13" s="20" t="n">
        <f aca="false">'План месяцев F1'!F13*'Допущения F1'!$D$16</f>
        <v>0</v>
      </c>
      <c r="N13" s="20" t="n">
        <f aca="false">I13*J13+L13+M13</f>
        <v>1874910.27566241</v>
      </c>
      <c r="O13" s="20" t="n">
        <f aca="false">(I13*'Допущения F1'!$D$9+'План месяцев F1'!F13)*('Допущения F1'!$D$10+'План месяцев F1'!G13*'Допущения F1'!$D$11*'Допущения F1'!$D$12)+F13*J13*'Допущения F1'!$D$15+L13*'План месяцев F1'!G13</f>
        <v>706624.475752163</v>
      </c>
      <c r="P13" s="20" t="n">
        <f aca="false">N13-O13</f>
        <v>1168285.79991024</v>
      </c>
      <c r="Q13" s="20" t="n">
        <f aca="false">'План месяцев F1'!H13+'Допущения F1'!$D$18</f>
        <v>60000</v>
      </c>
      <c r="R13" s="20" t="n">
        <f aca="false">U13*'Допущения F1'!$D$14</f>
        <v>110903.826693991</v>
      </c>
      <c r="S13" s="20" t="n">
        <f aca="false">MAX(0,'Допущения F1'!$D$19-'Допущения F1'!$D$18)</f>
        <v>60000</v>
      </c>
      <c r="T13" s="20" t="n">
        <f aca="false">P13-Q13-R13-S13</f>
        <v>937381.973216252</v>
      </c>
      <c r="U13" s="20" t="n">
        <f aca="false">N13*(1-'Допущения F1'!$D$13)+(N12)*'Допущения F1'!$D$13</f>
        <v>1848397.11156652</v>
      </c>
      <c r="V13" s="20" t="n">
        <f aca="false">O13+Q13+R13</f>
        <v>877528.302446155</v>
      </c>
      <c r="W13" s="20" t="n">
        <f aca="false">'План месяцев F1'!I13</f>
        <v>0</v>
      </c>
      <c r="X13" s="23" t="n">
        <f aca="false">X12+U13-V13+W13</f>
        <v>4564952.17177493</v>
      </c>
      <c r="Y13" s="23" t="str">
        <f aca="false">IF(X13&lt;Q13*'Допущения F1'!$D$20,"НИЖЕ РЕЗЕРВА","РЕЗЕРВ ЕСТЬ")</f>
        <v>РЕЗЕРВ ЕСТЬ</v>
      </c>
    </row>
  </sheetData>
  <conditionalFormatting sqref="X2:X13">
    <cfRule type="cellIs" priority="2" operator="less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48"/>
  </cols>
  <sheetData>
    <row r="1" customFormat="false" ht="42" hidden="false" customHeight="true" outlineLevel="0" collapsed="false">
      <c r="A1" s="9" t="s">
        <v>127</v>
      </c>
      <c r="B1" s="9" t="s">
        <v>128</v>
      </c>
      <c r="C1" s="9" t="s">
        <v>129</v>
      </c>
      <c r="D1" s="9" t="s">
        <v>130</v>
      </c>
      <c r="E1" s="9" t="s">
        <v>131</v>
      </c>
    </row>
    <row r="2" customFormat="false" ht="57.75" hidden="false" customHeight="true" outlineLevel="0" collapsed="false">
      <c r="A2" s="10" t="s">
        <v>132</v>
      </c>
      <c r="B2" s="24" t="n">
        <f aca="false">COUNTA('Каталог F1'!A2:A58)</f>
        <v>57</v>
      </c>
      <c r="C2" s="24" t="n">
        <v>57</v>
      </c>
      <c r="D2" s="25" t="str">
        <f aca="false">IF(ABS(B2-C2)&lt;0.01,"OK","ОШИБКА")</f>
        <v>OK</v>
      </c>
      <c r="E2" s="10" t="s">
        <v>133</v>
      </c>
    </row>
    <row r="3" customFormat="false" ht="57.75" hidden="false" customHeight="true" outlineLevel="0" collapsed="false">
      <c r="A3" s="10" t="s">
        <v>134</v>
      </c>
      <c r="B3" s="24" t="n">
        <f aca="false">COUNTA('Сигналы F1'!A2:A126)</f>
        <v>125</v>
      </c>
      <c r="C3" s="24" t="n">
        <v>125</v>
      </c>
      <c r="D3" s="25" t="str">
        <f aca="false">IF(ABS(B3-C3)&lt;0.01,"OK","ОШИБКА")</f>
        <v>OK</v>
      </c>
      <c r="E3" s="10" t="s">
        <v>135</v>
      </c>
    </row>
    <row r="4" customFormat="false" ht="57.75" hidden="false" customHeight="true" outlineLevel="0" collapsed="false">
      <c r="A4" s="10" t="s">
        <v>136</v>
      </c>
      <c r="B4" s="26" t="n">
        <f aca="false">ROUND('Слабый F1'!X2-('Допущения F1'!B2-'Допущения F1'!B3+'Слабый F1'!U2-'Слабый F1'!V2+'Слабый F1'!W2),2)</f>
        <v>0</v>
      </c>
      <c r="C4" s="26" t="n">
        <v>0</v>
      </c>
      <c r="D4" s="25" t="str">
        <f aca="false">IF(ABS(B4-C4)&lt;0.01,"OK","ОШИБКА")</f>
        <v>OK</v>
      </c>
      <c r="E4" s="10" t="s">
        <v>137</v>
      </c>
    </row>
    <row r="5" customFormat="false" ht="57.75" hidden="false" customHeight="true" outlineLevel="0" collapsed="false">
      <c r="A5" s="10" t="s">
        <v>138</v>
      </c>
      <c r="B5" s="26" t="n">
        <f aca="false">ROUND(SUM('Слабый F1'!N2:N13)-SUMPRODUCT('Слабый F1'!I2:I13,'Слабый F1'!J2:J13)-SUM('Слабый F1'!L2:L13)-SUM('Слабый F1'!M2:M13),2)</f>
        <v>0</v>
      </c>
      <c r="C5" s="26" t="n">
        <v>0</v>
      </c>
      <c r="D5" s="25" t="str">
        <f aca="false">IF(ABS(B5-C5)&lt;0.01,"OK","ОШИБКА")</f>
        <v>OK</v>
      </c>
      <c r="E5" s="10" t="s">
        <v>139</v>
      </c>
    </row>
    <row r="6" customFormat="false" ht="57.75" hidden="false" customHeight="true" outlineLevel="0" collapsed="false">
      <c r="A6" s="10" t="s">
        <v>140</v>
      </c>
      <c r="B6" s="26" t="n">
        <f aca="false">ROUND(SUM('Слабый F1'!N2:N13)-SUM('Слабый F1'!U2:U13)-'Слабый F1'!N13*'Допущения F1'!B13,2)</f>
        <v>0</v>
      </c>
      <c r="C6" s="26" t="n">
        <v>0</v>
      </c>
      <c r="D6" s="25" t="str">
        <f aca="false">IF(ABS(B6-C6)&lt;0.01,"OK","ОШИБКА")</f>
        <v>OK</v>
      </c>
      <c r="E6" s="10" t="s">
        <v>141</v>
      </c>
    </row>
    <row r="7" customFormat="false" ht="57.75" hidden="false" customHeight="true" outlineLevel="0" collapsed="false">
      <c r="A7" s="10" t="s">
        <v>142</v>
      </c>
      <c r="B7" s="26" t="n">
        <f aca="false">ROUND('Рабочий F1'!X2-('Допущения F1'!C2-'Допущения F1'!C3+'Рабочий F1'!U2-'Рабочий F1'!V2+'Рабочий F1'!W2),2)</f>
        <v>0</v>
      </c>
      <c r="C7" s="26" t="n">
        <v>0</v>
      </c>
      <c r="D7" s="25" t="str">
        <f aca="false">IF(ABS(B7-C7)&lt;0.01,"OK","ОШИБКА")</f>
        <v>OK</v>
      </c>
      <c r="E7" s="10" t="s">
        <v>137</v>
      </c>
    </row>
    <row r="8" customFormat="false" ht="57.75" hidden="false" customHeight="true" outlineLevel="0" collapsed="false">
      <c r="A8" s="10" t="s">
        <v>143</v>
      </c>
      <c r="B8" s="26" t="n">
        <f aca="false">ROUND(SUM('Рабочий F1'!N2:N13)-SUMPRODUCT('Рабочий F1'!I2:I13,'Рабочий F1'!J2:J13)-SUM('Рабочий F1'!L2:L13)-SUM('Рабочий F1'!M2:M13),2)</f>
        <v>0</v>
      </c>
      <c r="C8" s="26" t="n">
        <v>0</v>
      </c>
      <c r="D8" s="25" t="str">
        <f aca="false">IF(ABS(B8-C8)&lt;0.01,"OK","ОШИБКА")</f>
        <v>OK</v>
      </c>
      <c r="E8" s="10" t="s">
        <v>139</v>
      </c>
    </row>
    <row r="9" customFormat="false" ht="57.75" hidden="false" customHeight="true" outlineLevel="0" collapsed="false">
      <c r="A9" s="10" t="s">
        <v>144</v>
      </c>
      <c r="B9" s="26" t="n">
        <f aca="false">ROUND(SUM('Рабочий F1'!N2:N13)-SUM('Рабочий F1'!U2:U13)-'Рабочий F1'!N13*'Допущения F1'!C13,2)</f>
        <v>0</v>
      </c>
      <c r="C9" s="26" t="n">
        <v>0</v>
      </c>
      <c r="D9" s="25" t="str">
        <f aca="false">IF(ABS(B9-C9)&lt;0.01,"OK","ОШИБКА")</f>
        <v>OK</v>
      </c>
      <c r="E9" s="10" t="s">
        <v>141</v>
      </c>
    </row>
    <row r="10" customFormat="false" ht="57.75" hidden="false" customHeight="true" outlineLevel="0" collapsed="false">
      <c r="A10" s="10" t="s">
        <v>145</v>
      </c>
      <c r="B10" s="26" t="n">
        <f aca="false">ROUND('Сильный F1'!X2-('Допущения F1'!D2-'Допущения F1'!D3+'Сильный F1'!U2-'Сильный F1'!V2+'Сильный F1'!W2),2)</f>
        <v>0</v>
      </c>
      <c r="C10" s="26" t="n">
        <v>0</v>
      </c>
      <c r="D10" s="25" t="str">
        <f aca="false">IF(ABS(B10-C10)&lt;0.01,"OK","ОШИБКА")</f>
        <v>OK</v>
      </c>
      <c r="E10" s="10" t="s">
        <v>137</v>
      </c>
    </row>
    <row r="11" customFormat="false" ht="57.75" hidden="false" customHeight="true" outlineLevel="0" collapsed="false">
      <c r="A11" s="10" t="s">
        <v>146</v>
      </c>
      <c r="B11" s="26" t="n">
        <f aca="false">ROUND(SUM('Сильный F1'!N2:N13)-SUMPRODUCT('Сильный F1'!I2:I13,'Сильный F1'!J2:J13)-SUM('Сильный F1'!L2:L13)-SUM('Сильный F1'!M2:M13),2)</f>
        <v>0</v>
      </c>
      <c r="C11" s="26" t="n">
        <v>0</v>
      </c>
      <c r="D11" s="25" t="str">
        <f aca="false">IF(ABS(B11-C11)&lt;0.01,"OK","ОШИБКА")</f>
        <v>OK</v>
      </c>
      <c r="E11" s="10" t="s">
        <v>139</v>
      </c>
    </row>
    <row r="12" customFormat="false" ht="57.75" hidden="false" customHeight="true" outlineLevel="0" collapsed="false">
      <c r="A12" s="10" t="s">
        <v>147</v>
      </c>
      <c r="B12" s="26" t="n">
        <f aca="false">ROUND(SUM('Сильный F1'!N2:N13)-SUM('Сильный F1'!U2:U13)-'Сильный F1'!N13*'Допущения F1'!D13,2)</f>
        <v>-0</v>
      </c>
      <c r="C12" s="26" t="n">
        <v>0</v>
      </c>
      <c r="D12" s="25" t="str">
        <f aca="false">IF(ABS(B12-C12)&lt;0.01,"OK","ОШИБКА")</f>
        <v>OK</v>
      </c>
      <c r="E12" s="10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6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75"/>
    <col collapsed="false" customWidth="true" hidden="false" outlineLevel="0" max="6" min="6" style="0" width="70"/>
    <col collapsed="false" customWidth="true" hidden="false" outlineLevel="0" max="7" min="7" style="0" width="68"/>
    <col collapsed="false" customWidth="true" hidden="false" outlineLevel="0" max="8" min="8" style="0" width="65"/>
    <col collapsed="false" customWidth="true" hidden="false" outlineLevel="0" max="9" min="9" style="0" width="48"/>
  </cols>
  <sheetData>
    <row r="1" customFormat="false" ht="42" hidden="false" customHeight="true" outlineLevel="0" collapsed="false">
      <c r="A1" s="9" t="s">
        <v>148</v>
      </c>
      <c r="B1" s="9" t="s">
        <v>149</v>
      </c>
      <c r="C1" s="9" t="s">
        <v>150</v>
      </c>
      <c r="D1" s="9" t="s">
        <v>151</v>
      </c>
      <c r="E1" s="9" t="s">
        <v>152</v>
      </c>
      <c r="F1" s="9" t="s">
        <v>153</v>
      </c>
      <c r="G1" s="9" t="s">
        <v>154</v>
      </c>
      <c r="H1" s="9" t="s">
        <v>155</v>
      </c>
      <c r="I1" s="9" t="s">
        <v>156</v>
      </c>
    </row>
    <row r="2" customFormat="false" ht="117.75" hidden="false" customHeight="true" outlineLevel="0" collapsed="false">
      <c r="A2" s="10" t="s">
        <v>157</v>
      </c>
      <c r="B2" s="10" t="s">
        <v>158</v>
      </c>
      <c r="C2" s="10" t="s">
        <v>159</v>
      </c>
      <c r="D2" s="10" t="s">
        <v>160</v>
      </c>
      <c r="E2" s="10" t="s">
        <v>161</v>
      </c>
      <c r="F2" s="10" t="s">
        <v>162</v>
      </c>
      <c r="G2" s="10" t="s">
        <v>163</v>
      </c>
      <c r="H2" s="10" t="s">
        <v>164</v>
      </c>
      <c r="I2" s="10" t="s">
        <v>165</v>
      </c>
    </row>
    <row r="3" customFormat="false" ht="117.75" hidden="false" customHeight="true" outlineLevel="0" collapsed="false">
      <c r="A3" s="10" t="s">
        <v>166</v>
      </c>
      <c r="B3" s="10" t="s">
        <v>167</v>
      </c>
      <c r="C3" s="10" t="s">
        <v>159</v>
      </c>
      <c r="D3" s="10" t="s">
        <v>160</v>
      </c>
      <c r="E3" s="10" t="s">
        <v>168</v>
      </c>
      <c r="F3" s="10" t="s">
        <v>169</v>
      </c>
      <c r="G3" s="10" t="s">
        <v>163</v>
      </c>
      <c r="H3" s="10" t="s">
        <v>164</v>
      </c>
      <c r="I3" s="10" t="s">
        <v>165</v>
      </c>
    </row>
    <row r="4" customFormat="false" ht="117.75" hidden="false" customHeight="true" outlineLevel="0" collapsed="false">
      <c r="A4" s="10" t="s">
        <v>170</v>
      </c>
      <c r="B4" s="10" t="s">
        <v>171</v>
      </c>
      <c r="C4" s="10" t="s">
        <v>159</v>
      </c>
      <c r="D4" s="10" t="s">
        <v>160</v>
      </c>
      <c r="E4" s="10" t="s">
        <v>172</v>
      </c>
      <c r="F4" s="10" t="s">
        <v>169</v>
      </c>
      <c r="G4" s="10" t="s">
        <v>163</v>
      </c>
      <c r="H4" s="10" t="s">
        <v>164</v>
      </c>
      <c r="I4" s="10" t="s">
        <v>165</v>
      </c>
    </row>
    <row r="5" customFormat="false" ht="117.75" hidden="false" customHeight="true" outlineLevel="0" collapsed="false">
      <c r="A5" s="10" t="s">
        <v>173</v>
      </c>
      <c r="B5" s="10" t="s">
        <v>174</v>
      </c>
      <c r="C5" s="10" t="s">
        <v>159</v>
      </c>
      <c r="D5" s="10" t="s">
        <v>160</v>
      </c>
      <c r="E5" s="10" t="s">
        <v>175</v>
      </c>
      <c r="F5" s="10" t="s">
        <v>169</v>
      </c>
      <c r="G5" s="10" t="s">
        <v>163</v>
      </c>
      <c r="H5" s="10" t="s">
        <v>164</v>
      </c>
      <c r="I5" s="10" t="s">
        <v>165</v>
      </c>
    </row>
    <row r="6" customFormat="false" ht="117.75" hidden="false" customHeight="true" outlineLevel="0" collapsed="false">
      <c r="A6" s="10" t="s">
        <v>176</v>
      </c>
      <c r="B6" s="10" t="s">
        <v>177</v>
      </c>
      <c r="C6" s="10" t="s">
        <v>159</v>
      </c>
      <c r="D6" s="10" t="s">
        <v>178</v>
      </c>
      <c r="E6" s="10" t="s">
        <v>179</v>
      </c>
      <c r="F6" s="10" t="s">
        <v>169</v>
      </c>
      <c r="G6" s="10" t="s">
        <v>180</v>
      </c>
      <c r="H6" s="10" t="s">
        <v>164</v>
      </c>
      <c r="I6" s="10" t="s">
        <v>165</v>
      </c>
    </row>
    <row r="7" customFormat="false" ht="117.75" hidden="false" customHeight="true" outlineLevel="0" collapsed="false">
      <c r="A7" s="10" t="s">
        <v>181</v>
      </c>
      <c r="B7" s="10" t="s">
        <v>182</v>
      </c>
      <c r="C7" s="10" t="s">
        <v>159</v>
      </c>
      <c r="D7" s="10" t="s">
        <v>178</v>
      </c>
      <c r="E7" s="10" t="s">
        <v>183</v>
      </c>
      <c r="F7" s="10" t="s">
        <v>184</v>
      </c>
      <c r="G7" s="10" t="s">
        <v>180</v>
      </c>
      <c r="H7" s="10" t="s">
        <v>164</v>
      </c>
      <c r="I7" s="10" t="s">
        <v>165</v>
      </c>
    </row>
    <row r="8" customFormat="false" ht="117.75" hidden="false" customHeight="true" outlineLevel="0" collapsed="false">
      <c r="A8" s="10" t="s">
        <v>185</v>
      </c>
      <c r="B8" s="10" t="s">
        <v>186</v>
      </c>
      <c r="C8" s="10" t="s">
        <v>159</v>
      </c>
      <c r="D8" s="10" t="s">
        <v>160</v>
      </c>
      <c r="E8" s="10" t="s">
        <v>187</v>
      </c>
      <c r="F8" s="10" t="s">
        <v>169</v>
      </c>
      <c r="G8" s="10" t="s">
        <v>163</v>
      </c>
      <c r="H8" s="10" t="s">
        <v>164</v>
      </c>
      <c r="I8" s="10" t="s">
        <v>165</v>
      </c>
    </row>
    <row r="9" customFormat="false" ht="117.75" hidden="false" customHeight="true" outlineLevel="0" collapsed="false">
      <c r="A9" s="10" t="s">
        <v>188</v>
      </c>
      <c r="B9" s="10" t="s">
        <v>189</v>
      </c>
      <c r="C9" s="10" t="s">
        <v>159</v>
      </c>
      <c r="D9" s="10" t="s">
        <v>160</v>
      </c>
      <c r="E9" s="10" t="s">
        <v>190</v>
      </c>
      <c r="F9" s="10" t="s">
        <v>169</v>
      </c>
      <c r="G9" s="10" t="s">
        <v>163</v>
      </c>
      <c r="H9" s="10" t="s">
        <v>164</v>
      </c>
      <c r="I9" s="10" t="s">
        <v>165</v>
      </c>
    </row>
    <row r="10" customFormat="false" ht="117.75" hidden="false" customHeight="true" outlineLevel="0" collapsed="false">
      <c r="A10" s="10" t="s">
        <v>191</v>
      </c>
      <c r="B10" s="10" t="s">
        <v>192</v>
      </c>
      <c r="C10" s="10" t="s">
        <v>159</v>
      </c>
      <c r="D10" s="10" t="s">
        <v>193</v>
      </c>
      <c r="E10" s="10" t="s">
        <v>194</v>
      </c>
      <c r="F10" s="10" t="s">
        <v>195</v>
      </c>
      <c r="G10" s="10" t="s">
        <v>196</v>
      </c>
      <c r="H10" s="10" t="s">
        <v>164</v>
      </c>
      <c r="I10" s="10" t="s">
        <v>165</v>
      </c>
    </row>
    <row r="11" customFormat="false" ht="117.75" hidden="false" customHeight="true" outlineLevel="0" collapsed="false">
      <c r="A11" s="10" t="s">
        <v>197</v>
      </c>
      <c r="B11" s="10" t="s">
        <v>198</v>
      </c>
      <c r="C11" s="10" t="s">
        <v>159</v>
      </c>
      <c r="D11" s="10" t="s">
        <v>193</v>
      </c>
      <c r="E11" s="10" t="s">
        <v>199</v>
      </c>
      <c r="F11" s="10" t="s">
        <v>200</v>
      </c>
      <c r="G11" s="10" t="s">
        <v>196</v>
      </c>
      <c r="H11" s="10" t="s">
        <v>164</v>
      </c>
      <c r="I11" s="10" t="s">
        <v>165</v>
      </c>
    </row>
    <row r="12" customFormat="false" ht="117.75" hidden="false" customHeight="true" outlineLevel="0" collapsed="false">
      <c r="A12" s="10" t="s">
        <v>201</v>
      </c>
      <c r="B12" s="10" t="s">
        <v>202</v>
      </c>
      <c r="C12" s="10" t="s">
        <v>159</v>
      </c>
      <c r="D12" s="10" t="s">
        <v>203</v>
      </c>
      <c r="E12" s="10" t="s">
        <v>204</v>
      </c>
      <c r="F12" s="10" t="s">
        <v>169</v>
      </c>
      <c r="G12" s="10" t="s">
        <v>205</v>
      </c>
      <c r="H12" s="10" t="s">
        <v>164</v>
      </c>
      <c r="I12" s="10" t="s">
        <v>165</v>
      </c>
    </row>
    <row r="13" customFormat="false" ht="117.75" hidden="false" customHeight="true" outlineLevel="0" collapsed="false">
      <c r="A13" s="10" t="s">
        <v>206</v>
      </c>
      <c r="B13" s="10" t="s">
        <v>207</v>
      </c>
      <c r="C13" s="10" t="s">
        <v>159</v>
      </c>
      <c r="D13" s="10" t="s">
        <v>203</v>
      </c>
      <c r="E13" s="10" t="s">
        <v>208</v>
      </c>
      <c r="F13" s="10" t="s">
        <v>169</v>
      </c>
      <c r="G13" s="10" t="s">
        <v>205</v>
      </c>
      <c r="H13" s="10" t="s">
        <v>164</v>
      </c>
      <c r="I13" s="10" t="s">
        <v>165</v>
      </c>
    </row>
    <row r="14" customFormat="false" ht="117.75" hidden="false" customHeight="true" outlineLevel="0" collapsed="false">
      <c r="A14" s="10" t="s">
        <v>209</v>
      </c>
      <c r="B14" s="10" t="s">
        <v>210</v>
      </c>
      <c r="C14" s="10" t="s">
        <v>159</v>
      </c>
      <c r="D14" s="10" t="s">
        <v>203</v>
      </c>
      <c r="E14" s="10" t="s">
        <v>211</v>
      </c>
      <c r="F14" s="10" t="s">
        <v>169</v>
      </c>
      <c r="G14" s="10" t="s">
        <v>205</v>
      </c>
      <c r="H14" s="10" t="s">
        <v>164</v>
      </c>
      <c r="I14" s="10" t="s">
        <v>165</v>
      </c>
    </row>
    <row r="15" customFormat="false" ht="117.75" hidden="false" customHeight="true" outlineLevel="0" collapsed="false">
      <c r="A15" s="10" t="s">
        <v>212</v>
      </c>
      <c r="B15" s="10" t="s">
        <v>213</v>
      </c>
      <c r="C15" s="10" t="s">
        <v>159</v>
      </c>
      <c r="D15" s="10" t="s">
        <v>203</v>
      </c>
      <c r="E15" s="10" t="s">
        <v>214</v>
      </c>
      <c r="F15" s="10" t="s">
        <v>169</v>
      </c>
      <c r="G15" s="10" t="s">
        <v>205</v>
      </c>
      <c r="H15" s="10" t="s">
        <v>164</v>
      </c>
      <c r="I15" s="10" t="s">
        <v>165</v>
      </c>
    </row>
    <row r="16" customFormat="false" ht="117.75" hidden="false" customHeight="true" outlineLevel="0" collapsed="false">
      <c r="A16" s="10" t="s">
        <v>215</v>
      </c>
      <c r="B16" s="10" t="s">
        <v>216</v>
      </c>
      <c r="C16" s="10" t="s">
        <v>159</v>
      </c>
      <c r="D16" s="10" t="s">
        <v>203</v>
      </c>
      <c r="E16" s="10" t="s">
        <v>217</v>
      </c>
      <c r="F16" s="10" t="s">
        <v>169</v>
      </c>
      <c r="G16" s="10" t="s">
        <v>205</v>
      </c>
      <c r="H16" s="10" t="s">
        <v>164</v>
      </c>
      <c r="I16" s="10" t="s">
        <v>165</v>
      </c>
    </row>
    <row r="17" customFormat="false" ht="117.75" hidden="false" customHeight="true" outlineLevel="0" collapsed="false">
      <c r="A17" s="10" t="s">
        <v>218</v>
      </c>
      <c r="B17" s="10" t="s">
        <v>219</v>
      </c>
      <c r="C17" s="10" t="s">
        <v>159</v>
      </c>
      <c r="D17" s="10" t="s">
        <v>178</v>
      </c>
      <c r="E17" s="10" t="s">
        <v>220</v>
      </c>
      <c r="F17" s="10" t="s">
        <v>221</v>
      </c>
      <c r="G17" s="10" t="s">
        <v>180</v>
      </c>
      <c r="H17" s="10" t="s">
        <v>164</v>
      </c>
      <c r="I17" s="10" t="s">
        <v>165</v>
      </c>
    </row>
    <row r="18" customFormat="false" ht="117.75" hidden="false" customHeight="true" outlineLevel="0" collapsed="false">
      <c r="A18" s="10" t="s">
        <v>222</v>
      </c>
      <c r="B18" s="10" t="s">
        <v>223</v>
      </c>
      <c r="C18" s="10" t="s">
        <v>159</v>
      </c>
      <c r="D18" s="10" t="s">
        <v>203</v>
      </c>
      <c r="E18" s="10" t="s">
        <v>224</v>
      </c>
      <c r="F18" s="10" t="s">
        <v>225</v>
      </c>
      <c r="G18" s="10" t="s">
        <v>205</v>
      </c>
      <c r="H18" s="10" t="s">
        <v>164</v>
      </c>
      <c r="I18" s="10" t="s">
        <v>165</v>
      </c>
    </row>
    <row r="19" customFormat="false" ht="117.75" hidden="false" customHeight="true" outlineLevel="0" collapsed="false">
      <c r="A19" s="10" t="s">
        <v>226</v>
      </c>
      <c r="B19" s="10" t="s">
        <v>227</v>
      </c>
      <c r="C19" s="10" t="s">
        <v>159</v>
      </c>
      <c r="D19" s="10" t="s">
        <v>203</v>
      </c>
      <c r="E19" s="10" t="s">
        <v>228</v>
      </c>
      <c r="F19" s="10" t="s">
        <v>229</v>
      </c>
      <c r="G19" s="10" t="s">
        <v>205</v>
      </c>
      <c r="H19" s="10" t="s">
        <v>164</v>
      </c>
      <c r="I19" s="10" t="s">
        <v>165</v>
      </c>
    </row>
    <row r="20" customFormat="false" ht="117.75" hidden="false" customHeight="true" outlineLevel="0" collapsed="false">
      <c r="A20" s="10" t="s">
        <v>230</v>
      </c>
      <c r="B20" s="10" t="s">
        <v>231</v>
      </c>
      <c r="C20" s="10" t="s">
        <v>159</v>
      </c>
      <c r="D20" s="10" t="s">
        <v>203</v>
      </c>
      <c r="E20" s="10" t="s">
        <v>232</v>
      </c>
      <c r="F20" s="10" t="s">
        <v>233</v>
      </c>
      <c r="G20" s="10" t="s">
        <v>205</v>
      </c>
      <c r="H20" s="10" t="s">
        <v>164</v>
      </c>
      <c r="I20" s="10" t="s">
        <v>165</v>
      </c>
    </row>
    <row r="21" customFormat="false" ht="117.75" hidden="false" customHeight="true" outlineLevel="0" collapsed="false">
      <c r="A21" s="10" t="s">
        <v>234</v>
      </c>
      <c r="B21" s="10" t="s">
        <v>235</v>
      </c>
      <c r="C21" s="10" t="s">
        <v>159</v>
      </c>
      <c r="D21" s="10" t="s">
        <v>203</v>
      </c>
      <c r="E21" s="10" t="s">
        <v>236</v>
      </c>
      <c r="F21" s="10" t="s">
        <v>169</v>
      </c>
      <c r="G21" s="10" t="s">
        <v>205</v>
      </c>
      <c r="H21" s="10" t="s">
        <v>164</v>
      </c>
      <c r="I21" s="10" t="s">
        <v>165</v>
      </c>
    </row>
    <row r="22" customFormat="false" ht="117.75" hidden="false" customHeight="true" outlineLevel="0" collapsed="false">
      <c r="A22" s="10" t="s">
        <v>237</v>
      </c>
      <c r="B22" s="10" t="s">
        <v>238</v>
      </c>
      <c r="C22" s="10" t="s">
        <v>159</v>
      </c>
      <c r="D22" s="10" t="s">
        <v>178</v>
      </c>
      <c r="E22" s="10" t="s">
        <v>239</v>
      </c>
      <c r="F22" s="10" t="s">
        <v>169</v>
      </c>
      <c r="G22" s="10" t="s">
        <v>180</v>
      </c>
      <c r="H22" s="10" t="s">
        <v>164</v>
      </c>
      <c r="I22" s="10" t="s">
        <v>165</v>
      </c>
    </row>
    <row r="23" customFormat="false" ht="117.75" hidden="false" customHeight="true" outlineLevel="0" collapsed="false">
      <c r="A23" s="10" t="s">
        <v>240</v>
      </c>
      <c r="B23" s="10" t="s">
        <v>241</v>
      </c>
      <c r="C23" s="10" t="s">
        <v>159</v>
      </c>
      <c r="D23" s="10" t="s">
        <v>203</v>
      </c>
      <c r="E23" s="10" t="s">
        <v>242</v>
      </c>
      <c r="F23" s="10" t="s">
        <v>243</v>
      </c>
      <c r="G23" s="10" t="s">
        <v>205</v>
      </c>
      <c r="H23" s="10" t="s">
        <v>164</v>
      </c>
      <c r="I23" s="10" t="s">
        <v>165</v>
      </c>
    </row>
    <row r="24" customFormat="false" ht="117.75" hidden="false" customHeight="true" outlineLevel="0" collapsed="false">
      <c r="A24" s="10" t="s">
        <v>244</v>
      </c>
      <c r="B24" s="10" t="s">
        <v>245</v>
      </c>
      <c r="C24" s="10" t="s">
        <v>159</v>
      </c>
      <c r="D24" s="10" t="s">
        <v>160</v>
      </c>
      <c r="E24" s="10" t="s">
        <v>246</v>
      </c>
      <c r="F24" s="10" t="s">
        <v>247</v>
      </c>
      <c r="G24" s="10" t="s">
        <v>163</v>
      </c>
      <c r="H24" s="10" t="s">
        <v>164</v>
      </c>
      <c r="I24" s="10" t="s">
        <v>165</v>
      </c>
    </row>
    <row r="25" customFormat="false" ht="117.75" hidden="false" customHeight="true" outlineLevel="0" collapsed="false">
      <c r="A25" s="10" t="s">
        <v>248</v>
      </c>
      <c r="B25" s="10" t="s">
        <v>249</v>
      </c>
      <c r="C25" s="10" t="s">
        <v>159</v>
      </c>
      <c r="D25" s="10" t="s">
        <v>160</v>
      </c>
      <c r="E25" s="10" t="s">
        <v>250</v>
      </c>
      <c r="F25" s="10" t="s">
        <v>169</v>
      </c>
      <c r="G25" s="10" t="s">
        <v>163</v>
      </c>
      <c r="H25" s="10" t="s">
        <v>164</v>
      </c>
      <c r="I25" s="10" t="s">
        <v>165</v>
      </c>
    </row>
    <row r="26" customFormat="false" ht="117.75" hidden="false" customHeight="true" outlineLevel="0" collapsed="false">
      <c r="A26" s="10" t="s">
        <v>251</v>
      </c>
      <c r="B26" s="10" t="s">
        <v>252</v>
      </c>
      <c r="C26" s="10" t="s">
        <v>159</v>
      </c>
      <c r="D26" s="10" t="s">
        <v>178</v>
      </c>
      <c r="E26" s="10" t="s">
        <v>253</v>
      </c>
      <c r="F26" s="10" t="s">
        <v>169</v>
      </c>
      <c r="G26" s="10" t="s">
        <v>180</v>
      </c>
      <c r="H26" s="10" t="s">
        <v>164</v>
      </c>
      <c r="I26" s="10" t="s">
        <v>165</v>
      </c>
    </row>
    <row r="27" customFormat="false" ht="117.75" hidden="false" customHeight="true" outlineLevel="0" collapsed="false">
      <c r="A27" s="10" t="s">
        <v>254</v>
      </c>
      <c r="B27" s="10" t="s">
        <v>255</v>
      </c>
      <c r="C27" s="10" t="s">
        <v>159</v>
      </c>
      <c r="D27" s="10" t="s">
        <v>203</v>
      </c>
      <c r="E27" s="10" t="s">
        <v>256</v>
      </c>
      <c r="F27" s="10" t="s">
        <v>257</v>
      </c>
      <c r="G27" s="10" t="s">
        <v>205</v>
      </c>
      <c r="H27" s="10" t="s">
        <v>164</v>
      </c>
      <c r="I27" s="10" t="s">
        <v>165</v>
      </c>
    </row>
    <row r="28" customFormat="false" ht="117.75" hidden="false" customHeight="true" outlineLevel="0" collapsed="false">
      <c r="A28" s="10" t="s">
        <v>258</v>
      </c>
      <c r="B28" s="10" t="s">
        <v>259</v>
      </c>
      <c r="C28" s="10" t="s">
        <v>159</v>
      </c>
      <c r="D28" s="10" t="s">
        <v>203</v>
      </c>
      <c r="E28" s="10" t="s">
        <v>260</v>
      </c>
      <c r="F28" s="10" t="s">
        <v>169</v>
      </c>
      <c r="G28" s="10" t="s">
        <v>205</v>
      </c>
      <c r="H28" s="10" t="s">
        <v>164</v>
      </c>
      <c r="I28" s="10" t="s">
        <v>165</v>
      </c>
    </row>
    <row r="29" customFormat="false" ht="117.75" hidden="false" customHeight="true" outlineLevel="0" collapsed="false">
      <c r="A29" s="10" t="s">
        <v>261</v>
      </c>
      <c r="B29" s="10" t="s">
        <v>262</v>
      </c>
      <c r="C29" s="10" t="s">
        <v>159</v>
      </c>
      <c r="D29" s="10" t="s">
        <v>193</v>
      </c>
      <c r="E29" s="10" t="s">
        <v>263</v>
      </c>
      <c r="F29" s="10" t="s">
        <v>264</v>
      </c>
      <c r="G29" s="10" t="s">
        <v>196</v>
      </c>
      <c r="H29" s="10" t="s">
        <v>164</v>
      </c>
      <c r="I29" s="10" t="s">
        <v>165</v>
      </c>
    </row>
    <row r="30" customFormat="false" ht="117.75" hidden="false" customHeight="true" outlineLevel="0" collapsed="false">
      <c r="A30" s="10" t="s">
        <v>265</v>
      </c>
      <c r="B30" s="10" t="s">
        <v>266</v>
      </c>
      <c r="C30" s="10" t="s">
        <v>159</v>
      </c>
      <c r="D30" s="10" t="s">
        <v>203</v>
      </c>
      <c r="E30" s="10" t="s">
        <v>267</v>
      </c>
      <c r="F30" s="10" t="s">
        <v>268</v>
      </c>
      <c r="G30" s="10" t="s">
        <v>205</v>
      </c>
      <c r="H30" s="10" t="s">
        <v>164</v>
      </c>
      <c r="I30" s="10" t="s">
        <v>165</v>
      </c>
    </row>
    <row r="31" customFormat="false" ht="117.75" hidden="false" customHeight="true" outlineLevel="0" collapsed="false">
      <c r="A31" s="10" t="s">
        <v>269</v>
      </c>
      <c r="B31" s="10" t="s">
        <v>270</v>
      </c>
      <c r="C31" s="10" t="s">
        <v>159</v>
      </c>
      <c r="D31" s="10" t="s">
        <v>271</v>
      </c>
      <c r="E31" s="10" t="s">
        <v>272</v>
      </c>
      <c r="F31" s="10" t="s">
        <v>273</v>
      </c>
      <c r="G31" s="10" t="s">
        <v>274</v>
      </c>
      <c r="H31" s="10" t="s">
        <v>164</v>
      </c>
      <c r="I31" s="10" t="s">
        <v>165</v>
      </c>
    </row>
    <row r="32" customFormat="false" ht="117.75" hidden="false" customHeight="true" outlineLevel="0" collapsed="false">
      <c r="A32" s="10" t="s">
        <v>275</v>
      </c>
      <c r="B32" s="10" t="s">
        <v>276</v>
      </c>
      <c r="C32" s="10" t="s">
        <v>159</v>
      </c>
      <c r="D32" s="10" t="s">
        <v>271</v>
      </c>
      <c r="E32" s="10" t="s">
        <v>277</v>
      </c>
      <c r="F32" s="10" t="s">
        <v>169</v>
      </c>
      <c r="G32" s="10" t="s">
        <v>274</v>
      </c>
      <c r="H32" s="10" t="s">
        <v>164</v>
      </c>
      <c r="I32" s="10" t="s">
        <v>165</v>
      </c>
    </row>
    <row r="33" customFormat="false" ht="117.75" hidden="false" customHeight="true" outlineLevel="0" collapsed="false">
      <c r="A33" s="10" t="s">
        <v>278</v>
      </c>
      <c r="B33" s="10" t="s">
        <v>279</v>
      </c>
      <c r="C33" s="10" t="s">
        <v>159</v>
      </c>
      <c r="D33" s="10" t="s">
        <v>271</v>
      </c>
      <c r="E33" s="10" t="s">
        <v>280</v>
      </c>
      <c r="F33" s="10" t="s">
        <v>281</v>
      </c>
      <c r="G33" s="10" t="s">
        <v>274</v>
      </c>
      <c r="H33" s="10" t="s">
        <v>164</v>
      </c>
      <c r="I33" s="10" t="s">
        <v>165</v>
      </c>
    </row>
    <row r="34" customFormat="false" ht="117.75" hidden="false" customHeight="true" outlineLevel="0" collapsed="false">
      <c r="A34" s="10" t="s">
        <v>282</v>
      </c>
      <c r="B34" s="10" t="s">
        <v>283</v>
      </c>
      <c r="C34" s="10" t="s">
        <v>159</v>
      </c>
      <c r="D34" s="10" t="s">
        <v>271</v>
      </c>
      <c r="E34" s="10" t="s">
        <v>284</v>
      </c>
      <c r="F34" s="10" t="s">
        <v>169</v>
      </c>
      <c r="G34" s="10" t="s">
        <v>274</v>
      </c>
      <c r="H34" s="10" t="s">
        <v>164</v>
      </c>
      <c r="I34" s="10" t="s">
        <v>165</v>
      </c>
    </row>
    <row r="35" customFormat="false" ht="117.75" hidden="false" customHeight="true" outlineLevel="0" collapsed="false">
      <c r="A35" s="10" t="s">
        <v>285</v>
      </c>
      <c r="B35" s="10" t="s">
        <v>286</v>
      </c>
      <c r="C35" s="10" t="s">
        <v>159</v>
      </c>
      <c r="D35" s="10" t="s">
        <v>203</v>
      </c>
      <c r="E35" s="10" t="s">
        <v>287</v>
      </c>
      <c r="F35" s="10" t="s">
        <v>288</v>
      </c>
      <c r="G35" s="10" t="s">
        <v>205</v>
      </c>
      <c r="H35" s="10" t="s">
        <v>164</v>
      </c>
      <c r="I35" s="10" t="s">
        <v>165</v>
      </c>
    </row>
    <row r="36" customFormat="false" ht="117.75" hidden="false" customHeight="true" outlineLevel="0" collapsed="false">
      <c r="A36" s="10" t="s">
        <v>289</v>
      </c>
      <c r="B36" s="10" t="s">
        <v>290</v>
      </c>
      <c r="C36" s="10" t="s">
        <v>159</v>
      </c>
      <c r="D36" s="10" t="s">
        <v>203</v>
      </c>
      <c r="E36" s="10" t="s">
        <v>291</v>
      </c>
      <c r="F36" s="10" t="s">
        <v>169</v>
      </c>
      <c r="G36" s="10" t="s">
        <v>205</v>
      </c>
      <c r="H36" s="10" t="s">
        <v>164</v>
      </c>
      <c r="I36" s="10" t="s">
        <v>165</v>
      </c>
    </row>
    <row r="37" customFormat="false" ht="117.75" hidden="false" customHeight="true" outlineLevel="0" collapsed="false">
      <c r="A37" s="10" t="s">
        <v>292</v>
      </c>
      <c r="B37" s="10" t="s">
        <v>293</v>
      </c>
      <c r="C37" s="10" t="s">
        <v>294</v>
      </c>
      <c r="D37" s="10" t="s">
        <v>160</v>
      </c>
      <c r="E37" s="10" t="s">
        <v>295</v>
      </c>
      <c r="F37" s="10" t="s">
        <v>296</v>
      </c>
      <c r="G37" s="10" t="s">
        <v>163</v>
      </c>
      <c r="H37" s="10" t="s">
        <v>164</v>
      </c>
      <c r="I37" s="10" t="s">
        <v>165</v>
      </c>
    </row>
    <row r="38" customFormat="false" ht="117.75" hidden="false" customHeight="true" outlineLevel="0" collapsed="false">
      <c r="A38" s="10" t="s">
        <v>297</v>
      </c>
      <c r="B38" s="10" t="s">
        <v>298</v>
      </c>
      <c r="C38" s="10" t="s">
        <v>294</v>
      </c>
      <c r="D38" s="10" t="s">
        <v>160</v>
      </c>
      <c r="E38" s="10" t="s">
        <v>299</v>
      </c>
      <c r="F38" s="10" t="s">
        <v>169</v>
      </c>
      <c r="G38" s="10" t="s">
        <v>163</v>
      </c>
      <c r="H38" s="10" t="s">
        <v>164</v>
      </c>
      <c r="I38" s="10" t="s">
        <v>165</v>
      </c>
    </row>
    <row r="39" customFormat="false" ht="117.75" hidden="false" customHeight="true" outlineLevel="0" collapsed="false">
      <c r="A39" s="10" t="s">
        <v>300</v>
      </c>
      <c r="B39" s="10" t="s">
        <v>301</v>
      </c>
      <c r="C39" s="10" t="s">
        <v>294</v>
      </c>
      <c r="D39" s="10" t="s">
        <v>271</v>
      </c>
      <c r="E39" s="10" t="s">
        <v>302</v>
      </c>
      <c r="F39" s="10" t="s">
        <v>303</v>
      </c>
      <c r="G39" s="10" t="s">
        <v>274</v>
      </c>
      <c r="H39" s="10" t="s">
        <v>164</v>
      </c>
      <c r="I39" s="10" t="s">
        <v>165</v>
      </c>
    </row>
    <row r="40" customFormat="false" ht="117.75" hidden="false" customHeight="true" outlineLevel="0" collapsed="false">
      <c r="A40" s="10" t="s">
        <v>304</v>
      </c>
      <c r="B40" s="10" t="s">
        <v>305</v>
      </c>
      <c r="C40" s="10" t="s">
        <v>294</v>
      </c>
      <c r="D40" s="10" t="s">
        <v>160</v>
      </c>
      <c r="E40" s="10" t="s">
        <v>306</v>
      </c>
      <c r="F40" s="10" t="s">
        <v>307</v>
      </c>
      <c r="G40" s="10" t="s">
        <v>163</v>
      </c>
      <c r="H40" s="10" t="s">
        <v>164</v>
      </c>
      <c r="I40" s="10" t="s">
        <v>165</v>
      </c>
    </row>
    <row r="41" customFormat="false" ht="117.75" hidden="false" customHeight="true" outlineLevel="0" collapsed="false">
      <c r="A41" s="10" t="s">
        <v>308</v>
      </c>
      <c r="B41" s="10" t="s">
        <v>309</v>
      </c>
      <c r="C41" s="10" t="s">
        <v>294</v>
      </c>
      <c r="D41" s="10" t="s">
        <v>160</v>
      </c>
      <c r="E41" s="10" t="s">
        <v>310</v>
      </c>
      <c r="F41" s="10" t="s">
        <v>311</v>
      </c>
      <c r="G41" s="10" t="s">
        <v>163</v>
      </c>
      <c r="H41" s="10" t="s">
        <v>164</v>
      </c>
      <c r="I41" s="10" t="s">
        <v>165</v>
      </c>
    </row>
    <row r="42" customFormat="false" ht="117.75" hidden="false" customHeight="true" outlineLevel="0" collapsed="false">
      <c r="A42" s="10" t="s">
        <v>312</v>
      </c>
      <c r="B42" s="10" t="s">
        <v>313</v>
      </c>
      <c r="C42" s="10" t="s">
        <v>294</v>
      </c>
      <c r="D42" s="10" t="s">
        <v>271</v>
      </c>
      <c r="E42" s="10" t="s">
        <v>314</v>
      </c>
      <c r="F42" s="10" t="s">
        <v>315</v>
      </c>
      <c r="G42" s="10" t="s">
        <v>274</v>
      </c>
      <c r="H42" s="10" t="s">
        <v>164</v>
      </c>
      <c r="I42" s="10" t="s">
        <v>165</v>
      </c>
    </row>
    <row r="43" customFormat="false" ht="117.75" hidden="false" customHeight="true" outlineLevel="0" collapsed="false">
      <c r="A43" s="10" t="s">
        <v>316</v>
      </c>
      <c r="B43" s="10" t="s">
        <v>317</v>
      </c>
      <c r="C43" s="10" t="s">
        <v>294</v>
      </c>
      <c r="D43" s="10" t="s">
        <v>160</v>
      </c>
      <c r="E43" s="10" t="s">
        <v>318</v>
      </c>
      <c r="F43" s="10" t="s">
        <v>169</v>
      </c>
      <c r="G43" s="10" t="s">
        <v>163</v>
      </c>
      <c r="H43" s="10" t="s">
        <v>164</v>
      </c>
      <c r="I43" s="10" t="s">
        <v>165</v>
      </c>
    </row>
    <row r="44" customFormat="false" ht="117.75" hidden="false" customHeight="true" outlineLevel="0" collapsed="false">
      <c r="A44" s="10" t="s">
        <v>319</v>
      </c>
      <c r="B44" s="10" t="s">
        <v>320</v>
      </c>
      <c r="C44" s="10" t="s">
        <v>294</v>
      </c>
      <c r="D44" s="10" t="s">
        <v>160</v>
      </c>
      <c r="E44" s="10" t="s">
        <v>321</v>
      </c>
      <c r="F44" s="10" t="s">
        <v>322</v>
      </c>
      <c r="G44" s="10" t="s">
        <v>163</v>
      </c>
      <c r="H44" s="10" t="s">
        <v>164</v>
      </c>
      <c r="I44" s="10" t="s">
        <v>165</v>
      </c>
    </row>
    <row r="45" customFormat="false" ht="117.75" hidden="false" customHeight="true" outlineLevel="0" collapsed="false">
      <c r="A45" s="10" t="s">
        <v>323</v>
      </c>
      <c r="B45" s="10" t="s">
        <v>324</v>
      </c>
      <c r="C45" s="10" t="s">
        <v>294</v>
      </c>
      <c r="D45" s="10" t="s">
        <v>160</v>
      </c>
      <c r="E45" s="10" t="s">
        <v>325</v>
      </c>
      <c r="F45" s="10" t="s">
        <v>326</v>
      </c>
      <c r="G45" s="10" t="s">
        <v>163</v>
      </c>
      <c r="H45" s="10" t="s">
        <v>164</v>
      </c>
      <c r="I45" s="10" t="s">
        <v>165</v>
      </c>
    </row>
    <row r="46" customFormat="false" ht="117.75" hidden="false" customHeight="true" outlineLevel="0" collapsed="false">
      <c r="A46" s="10" t="s">
        <v>327</v>
      </c>
      <c r="B46" s="10" t="s">
        <v>328</v>
      </c>
      <c r="C46" s="10" t="s">
        <v>294</v>
      </c>
      <c r="D46" s="10" t="s">
        <v>178</v>
      </c>
      <c r="E46" s="10" t="s">
        <v>329</v>
      </c>
      <c r="F46" s="10" t="s">
        <v>330</v>
      </c>
      <c r="G46" s="10" t="s">
        <v>180</v>
      </c>
      <c r="H46" s="10" t="s">
        <v>164</v>
      </c>
      <c r="I46" s="10" t="s">
        <v>165</v>
      </c>
    </row>
    <row r="47" customFormat="false" ht="117.75" hidden="false" customHeight="true" outlineLevel="0" collapsed="false">
      <c r="A47" s="10" t="s">
        <v>331</v>
      </c>
      <c r="B47" s="10" t="s">
        <v>332</v>
      </c>
      <c r="C47" s="10" t="s">
        <v>294</v>
      </c>
      <c r="D47" s="10" t="s">
        <v>271</v>
      </c>
      <c r="E47" s="10" t="s">
        <v>333</v>
      </c>
      <c r="F47" s="10" t="s">
        <v>334</v>
      </c>
      <c r="G47" s="10" t="s">
        <v>274</v>
      </c>
      <c r="H47" s="10" t="s">
        <v>164</v>
      </c>
      <c r="I47" s="10" t="s">
        <v>165</v>
      </c>
    </row>
    <row r="48" customFormat="false" ht="117.75" hidden="false" customHeight="true" outlineLevel="0" collapsed="false">
      <c r="A48" s="10" t="s">
        <v>335</v>
      </c>
      <c r="B48" s="10" t="s">
        <v>336</v>
      </c>
      <c r="C48" s="10" t="s">
        <v>159</v>
      </c>
      <c r="D48" s="10" t="s">
        <v>271</v>
      </c>
      <c r="E48" s="10" t="s">
        <v>337</v>
      </c>
      <c r="F48" s="10" t="s">
        <v>338</v>
      </c>
      <c r="G48" s="10" t="s">
        <v>274</v>
      </c>
      <c r="H48" s="10" t="s">
        <v>164</v>
      </c>
      <c r="I48" s="10" t="s">
        <v>165</v>
      </c>
    </row>
    <row r="49" customFormat="false" ht="117.75" hidden="false" customHeight="true" outlineLevel="0" collapsed="false">
      <c r="A49" s="10" t="s">
        <v>339</v>
      </c>
      <c r="B49" s="10" t="s">
        <v>340</v>
      </c>
      <c r="C49" s="10" t="s">
        <v>159</v>
      </c>
      <c r="D49" s="10" t="s">
        <v>271</v>
      </c>
      <c r="E49" s="10" t="s">
        <v>341</v>
      </c>
      <c r="F49" s="10" t="s">
        <v>342</v>
      </c>
      <c r="G49" s="10" t="s">
        <v>274</v>
      </c>
      <c r="H49" s="10" t="s">
        <v>164</v>
      </c>
      <c r="I49" s="10" t="s">
        <v>165</v>
      </c>
    </row>
    <row r="50" customFormat="false" ht="117.75" hidden="false" customHeight="true" outlineLevel="0" collapsed="false">
      <c r="A50" s="10" t="s">
        <v>343</v>
      </c>
      <c r="B50" s="10" t="s">
        <v>344</v>
      </c>
      <c r="C50" s="10" t="s">
        <v>159</v>
      </c>
      <c r="D50" s="10" t="s">
        <v>271</v>
      </c>
      <c r="E50" s="10" t="s">
        <v>345</v>
      </c>
      <c r="F50" s="10" t="s">
        <v>346</v>
      </c>
      <c r="G50" s="10" t="s">
        <v>274</v>
      </c>
      <c r="H50" s="10" t="s">
        <v>164</v>
      </c>
      <c r="I50" s="10" t="s">
        <v>165</v>
      </c>
    </row>
    <row r="51" customFormat="false" ht="117.75" hidden="false" customHeight="true" outlineLevel="0" collapsed="false">
      <c r="A51" s="10" t="s">
        <v>347</v>
      </c>
      <c r="B51" s="10" t="s">
        <v>348</v>
      </c>
      <c r="C51" s="10" t="s">
        <v>159</v>
      </c>
      <c r="D51" s="10" t="s">
        <v>271</v>
      </c>
      <c r="E51" s="10" t="s">
        <v>349</v>
      </c>
      <c r="F51" s="10" t="s">
        <v>350</v>
      </c>
      <c r="G51" s="10" t="s">
        <v>274</v>
      </c>
      <c r="H51" s="10" t="s">
        <v>164</v>
      </c>
      <c r="I51" s="10" t="s">
        <v>165</v>
      </c>
    </row>
    <row r="52" customFormat="false" ht="117.75" hidden="false" customHeight="true" outlineLevel="0" collapsed="false">
      <c r="A52" s="10" t="s">
        <v>351</v>
      </c>
      <c r="B52" s="10" t="s">
        <v>352</v>
      </c>
      <c r="C52" s="10" t="s">
        <v>159</v>
      </c>
      <c r="D52" s="10" t="s">
        <v>271</v>
      </c>
      <c r="E52" s="10" t="s">
        <v>353</v>
      </c>
      <c r="F52" s="10" t="s">
        <v>354</v>
      </c>
      <c r="G52" s="10" t="s">
        <v>274</v>
      </c>
      <c r="H52" s="10" t="s">
        <v>164</v>
      </c>
      <c r="I52" s="10" t="s">
        <v>165</v>
      </c>
    </row>
    <row r="53" customFormat="false" ht="117.75" hidden="false" customHeight="true" outlineLevel="0" collapsed="false">
      <c r="A53" s="10" t="s">
        <v>355</v>
      </c>
      <c r="B53" s="10" t="s">
        <v>356</v>
      </c>
      <c r="C53" s="10" t="s">
        <v>159</v>
      </c>
      <c r="D53" s="10" t="s">
        <v>271</v>
      </c>
      <c r="E53" s="10" t="s">
        <v>357</v>
      </c>
      <c r="F53" s="10" t="s">
        <v>358</v>
      </c>
      <c r="G53" s="10" t="s">
        <v>274</v>
      </c>
      <c r="H53" s="10" t="s">
        <v>164</v>
      </c>
      <c r="I53" s="10" t="s">
        <v>165</v>
      </c>
    </row>
    <row r="54" customFormat="false" ht="117.75" hidden="false" customHeight="true" outlineLevel="0" collapsed="false">
      <c r="A54" s="10" t="s">
        <v>359</v>
      </c>
      <c r="B54" s="10" t="s">
        <v>360</v>
      </c>
      <c r="C54" s="10" t="s">
        <v>361</v>
      </c>
      <c r="D54" s="10" t="s">
        <v>193</v>
      </c>
      <c r="E54" s="10" t="s">
        <v>362</v>
      </c>
      <c r="F54" s="10" t="s">
        <v>169</v>
      </c>
      <c r="G54" s="10" t="s">
        <v>196</v>
      </c>
      <c r="H54" s="10" t="s">
        <v>164</v>
      </c>
      <c r="I54" s="10" t="s">
        <v>165</v>
      </c>
    </row>
    <row r="55" customFormat="false" ht="117.75" hidden="false" customHeight="true" outlineLevel="0" collapsed="false">
      <c r="A55" s="10" t="s">
        <v>363</v>
      </c>
      <c r="B55" s="10" t="s">
        <v>364</v>
      </c>
      <c r="C55" s="10" t="s">
        <v>361</v>
      </c>
      <c r="D55" s="10" t="s">
        <v>193</v>
      </c>
      <c r="E55" s="10" t="s">
        <v>365</v>
      </c>
      <c r="F55" s="10" t="s">
        <v>169</v>
      </c>
      <c r="G55" s="10" t="s">
        <v>196</v>
      </c>
      <c r="H55" s="10" t="s">
        <v>164</v>
      </c>
      <c r="I55" s="10" t="s">
        <v>165</v>
      </c>
    </row>
    <row r="56" customFormat="false" ht="117.75" hidden="false" customHeight="true" outlineLevel="0" collapsed="false">
      <c r="A56" s="10" t="s">
        <v>366</v>
      </c>
      <c r="B56" s="10" t="s">
        <v>367</v>
      </c>
      <c r="C56" s="10" t="s">
        <v>361</v>
      </c>
      <c r="D56" s="10" t="s">
        <v>193</v>
      </c>
      <c r="E56" s="10" t="s">
        <v>368</v>
      </c>
      <c r="F56" s="10" t="s">
        <v>369</v>
      </c>
      <c r="G56" s="10" t="s">
        <v>196</v>
      </c>
      <c r="H56" s="10" t="s">
        <v>164</v>
      </c>
      <c r="I56" s="10" t="s">
        <v>165</v>
      </c>
    </row>
    <row r="57" customFormat="false" ht="117.75" hidden="false" customHeight="true" outlineLevel="0" collapsed="false">
      <c r="A57" s="10" t="s">
        <v>370</v>
      </c>
      <c r="B57" s="10" t="s">
        <v>371</v>
      </c>
      <c r="C57" s="10" t="s">
        <v>361</v>
      </c>
      <c r="D57" s="10" t="s">
        <v>193</v>
      </c>
      <c r="E57" s="10" t="s">
        <v>372</v>
      </c>
      <c r="F57" s="10" t="s">
        <v>373</v>
      </c>
      <c r="G57" s="10" t="s">
        <v>196</v>
      </c>
      <c r="H57" s="10" t="s">
        <v>164</v>
      </c>
      <c r="I57" s="10" t="s">
        <v>165</v>
      </c>
    </row>
    <row r="58" customFormat="false" ht="117.75" hidden="false" customHeight="true" outlineLevel="0" collapsed="false">
      <c r="A58" s="10" t="s">
        <v>374</v>
      </c>
      <c r="B58" s="10" t="s">
        <v>375</v>
      </c>
      <c r="C58" s="10" t="s">
        <v>361</v>
      </c>
      <c r="D58" s="10" t="s">
        <v>193</v>
      </c>
      <c r="E58" s="10" t="s">
        <v>376</v>
      </c>
      <c r="F58" s="10" t="s">
        <v>377</v>
      </c>
      <c r="G58" s="10" t="s">
        <v>196</v>
      </c>
      <c r="H58" s="10" t="s">
        <v>164</v>
      </c>
      <c r="I58" s="10" t="s">
        <v>165</v>
      </c>
    </row>
  </sheetData>
  <dataValidations count="1">
    <dataValidation allowBlank="false" errorStyle="stop" operator="between" showDropDown="false" showErrorMessage="false" showInputMessage="false" sqref="D2:D58" type="list">
      <formula1>"MVP,После пилотов,Эксперимент,HOLD,GTM — не продукт"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90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8" min="8" style="0" width="90"/>
    <col collapsed="false" customWidth="true" hidden="false" outlineLevel="0" max="9" min="9" style="0" width="42"/>
  </cols>
  <sheetData>
    <row r="1" customFormat="false" ht="42" hidden="false" customHeight="true" outlineLevel="0" collapsed="false">
      <c r="A1" s="9" t="s">
        <v>378</v>
      </c>
      <c r="B1" s="9" t="s">
        <v>379</v>
      </c>
      <c r="C1" s="9" t="s">
        <v>380</v>
      </c>
      <c r="D1" s="9" t="s">
        <v>381</v>
      </c>
      <c r="E1" s="9" t="s">
        <v>382</v>
      </c>
      <c r="F1" s="9" t="s">
        <v>383</v>
      </c>
      <c r="G1" s="9" t="s">
        <v>384</v>
      </c>
      <c r="H1" s="9" t="s">
        <v>88</v>
      </c>
      <c r="I1" s="9" t="s">
        <v>385</v>
      </c>
    </row>
    <row r="2" customFormat="false" ht="120" hidden="false" customHeight="true" outlineLevel="0" collapsed="false">
      <c r="A2" s="10" t="s">
        <v>386</v>
      </c>
      <c r="B2" s="10" t="s">
        <v>387</v>
      </c>
      <c r="C2" s="10" t="s">
        <v>388</v>
      </c>
      <c r="D2" s="10" t="s">
        <v>389</v>
      </c>
      <c r="E2" s="10" t="s">
        <v>390</v>
      </c>
      <c r="F2" s="10" t="s">
        <v>391</v>
      </c>
      <c r="G2" s="10" t="s">
        <v>392</v>
      </c>
      <c r="H2" s="10" t="s">
        <v>393</v>
      </c>
      <c r="I2" s="10" t="s">
        <v>394</v>
      </c>
    </row>
    <row r="3" customFormat="false" ht="120" hidden="false" customHeight="true" outlineLevel="0" collapsed="false">
      <c r="A3" s="10" t="s">
        <v>395</v>
      </c>
      <c r="B3" s="10" t="s">
        <v>387</v>
      </c>
      <c r="C3" s="10" t="s">
        <v>396</v>
      </c>
      <c r="D3" s="10" t="s">
        <v>389</v>
      </c>
      <c r="E3" s="10" t="s">
        <v>390</v>
      </c>
      <c r="F3" s="10" t="s">
        <v>397</v>
      </c>
      <c r="G3" s="10" t="s">
        <v>392</v>
      </c>
      <c r="H3" s="10" t="s">
        <v>398</v>
      </c>
      <c r="I3" s="10" t="s">
        <v>394</v>
      </c>
    </row>
    <row r="4" customFormat="false" ht="120" hidden="false" customHeight="true" outlineLevel="0" collapsed="false">
      <c r="A4" s="10" t="s">
        <v>399</v>
      </c>
      <c r="B4" s="10" t="s">
        <v>387</v>
      </c>
      <c r="C4" s="10" t="s">
        <v>400</v>
      </c>
      <c r="D4" s="10" t="s">
        <v>389</v>
      </c>
      <c r="E4" s="10" t="s">
        <v>401</v>
      </c>
      <c r="F4" s="10" t="s">
        <v>402</v>
      </c>
      <c r="G4" s="10" t="s">
        <v>403</v>
      </c>
      <c r="H4" s="10" t="s">
        <v>404</v>
      </c>
      <c r="I4" s="10" t="s">
        <v>394</v>
      </c>
    </row>
    <row r="5" customFormat="false" ht="120" hidden="false" customHeight="true" outlineLevel="0" collapsed="false">
      <c r="A5" s="10" t="s">
        <v>405</v>
      </c>
      <c r="B5" s="10" t="s">
        <v>387</v>
      </c>
      <c r="C5" s="10" t="s">
        <v>406</v>
      </c>
      <c r="D5" s="10" t="s">
        <v>389</v>
      </c>
      <c r="E5" s="10" t="s">
        <v>401</v>
      </c>
      <c r="F5" s="10" t="s">
        <v>407</v>
      </c>
      <c r="G5" s="10" t="s">
        <v>408</v>
      </c>
      <c r="H5" s="10" t="s">
        <v>409</v>
      </c>
      <c r="I5" s="10" t="s">
        <v>394</v>
      </c>
    </row>
    <row r="6" customFormat="false" ht="120" hidden="false" customHeight="true" outlineLevel="0" collapsed="false">
      <c r="A6" s="10" t="s">
        <v>410</v>
      </c>
      <c r="B6" s="10" t="s">
        <v>387</v>
      </c>
      <c r="C6" s="10" t="s">
        <v>411</v>
      </c>
      <c r="D6" s="10" t="s">
        <v>412</v>
      </c>
      <c r="E6" s="10" t="s">
        <v>390</v>
      </c>
      <c r="F6" s="10" t="s">
        <v>413</v>
      </c>
      <c r="G6" s="10" t="s">
        <v>392</v>
      </c>
      <c r="H6" s="10" t="s">
        <v>414</v>
      </c>
      <c r="I6" s="10" t="s">
        <v>394</v>
      </c>
    </row>
    <row r="7" customFormat="false" ht="120" hidden="false" customHeight="true" outlineLevel="0" collapsed="false">
      <c r="A7" s="10" t="s">
        <v>415</v>
      </c>
      <c r="B7" s="10" t="s">
        <v>416</v>
      </c>
      <c r="C7" s="10" t="s">
        <v>417</v>
      </c>
      <c r="D7" s="10" t="s">
        <v>389</v>
      </c>
      <c r="E7" s="10" t="s">
        <v>390</v>
      </c>
      <c r="F7" s="10" t="s">
        <v>418</v>
      </c>
      <c r="G7" s="10" t="s">
        <v>403</v>
      </c>
      <c r="H7" s="10" t="s">
        <v>419</v>
      </c>
      <c r="I7" s="10" t="s">
        <v>394</v>
      </c>
    </row>
    <row r="8" customFormat="false" ht="120" hidden="false" customHeight="true" outlineLevel="0" collapsed="false">
      <c r="A8" s="10" t="s">
        <v>420</v>
      </c>
      <c r="B8" s="10" t="s">
        <v>421</v>
      </c>
      <c r="C8" s="10" t="s">
        <v>422</v>
      </c>
      <c r="D8" s="10" t="s">
        <v>423</v>
      </c>
      <c r="E8" s="10" t="s">
        <v>401</v>
      </c>
      <c r="F8" s="10" t="s">
        <v>424</v>
      </c>
      <c r="G8" s="10" t="s">
        <v>425</v>
      </c>
      <c r="H8" s="10" t="s">
        <v>426</v>
      </c>
      <c r="I8" s="10" t="s">
        <v>394</v>
      </c>
    </row>
    <row r="9" customFormat="false" ht="120" hidden="false" customHeight="true" outlineLevel="0" collapsed="false">
      <c r="A9" s="10" t="s">
        <v>427</v>
      </c>
      <c r="B9" s="10" t="s">
        <v>387</v>
      </c>
      <c r="C9" s="10" t="s">
        <v>428</v>
      </c>
      <c r="D9" s="10" t="s">
        <v>389</v>
      </c>
      <c r="E9" s="10" t="s">
        <v>429</v>
      </c>
      <c r="F9" s="10" t="s">
        <v>424</v>
      </c>
      <c r="G9" s="10" t="s">
        <v>425</v>
      </c>
      <c r="H9" s="10" t="s">
        <v>430</v>
      </c>
      <c r="I9" s="10" t="s">
        <v>394</v>
      </c>
    </row>
    <row r="10" customFormat="false" ht="120" hidden="false" customHeight="true" outlineLevel="0" collapsed="false">
      <c r="A10" s="10" t="s">
        <v>431</v>
      </c>
      <c r="B10" s="10" t="s">
        <v>432</v>
      </c>
      <c r="C10" s="10" t="s">
        <v>433</v>
      </c>
      <c r="D10" s="10" t="s">
        <v>389</v>
      </c>
      <c r="E10" s="10" t="s">
        <v>401</v>
      </c>
      <c r="F10" s="10" t="s">
        <v>434</v>
      </c>
      <c r="G10" s="10" t="s">
        <v>425</v>
      </c>
      <c r="H10" s="10" t="s">
        <v>435</v>
      </c>
      <c r="I10" s="10" t="s">
        <v>394</v>
      </c>
    </row>
    <row r="11" customFormat="false" ht="120" hidden="false" customHeight="true" outlineLevel="0" collapsed="false">
      <c r="A11" s="10" t="s">
        <v>436</v>
      </c>
      <c r="B11" s="10" t="s">
        <v>432</v>
      </c>
      <c r="C11" s="10" t="s">
        <v>437</v>
      </c>
      <c r="D11" s="10" t="s">
        <v>389</v>
      </c>
      <c r="E11" s="10" t="s">
        <v>401</v>
      </c>
      <c r="F11" s="10" t="s">
        <v>438</v>
      </c>
      <c r="G11" s="10" t="s">
        <v>403</v>
      </c>
      <c r="H11" s="10" t="s">
        <v>439</v>
      </c>
      <c r="I11" s="10" t="s">
        <v>394</v>
      </c>
    </row>
    <row r="12" customFormat="false" ht="120" hidden="false" customHeight="true" outlineLevel="0" collapsed="false">
      <c r="A12" s="10" t="s">
        <v>440</v>
      </c>
      <c r="B12" s="10" t="s">
        <v>441</v>
      </c>
      <c r="C12" s="10" t="s">
        <v>442</v>
      </c>
      <c r="D12" s="10" t="s">
        <v>389</v>
      </c>
      <c r="E12" s="10" t="s">
        <v>401</v>
      </c>
      <c r="F12" s="10" t="s">
        <v>443</v>
      </c>
      <c r="G12" s="10" t="s">
        <v>444</v>
      </c>
      <c r="H12" s="10" t="s">
        <v>445</v>
      </c>
      <c r="I12" s="10" t="s">
        <v>394</v>
      </c>
    </row>
    <row r="13" customFormat="false" ht="120" hidden="false" customHeight="true" outlineLevel="0" collapsed="false">
      <c r="A13" s="10" t="s">
        <v>446</v>
      </c>
      <c r="B13" s="10" t="s">
        <v>432</v>
      </c>
      <c r="C13" s="10" t="s">
        <v>447</v>
      </c>
      <c r="D13" s="10" t="s">
        <v>389</v>
      </c>
      <c r="E13" s="10" t="s">
        <v>390</v>
      </c>
      <c r="F13" s="10" t="s">
        <v>448</v>
      </c>
      <c r="G13" s="10" t="s">
        <v>408</v>
      </c>
      <c r="H13" s="10" t="s">
        <v>449</v>
      </c>
      <c r="I13" s="10" t="s">
        <v>394</v>
      </c>
    </row>
    <row r="14" customFormat="false" ht="120" hidden="false" customHeight="true" outlineLevel="0" collapsed="false">
      <c r="A14" s="10" t="s">
        <v>450</v>
      </c>
      <c r="B14" s="10" t="s">
        <v>451</v>
      </c>
      <c r="C14" s="10" t="s">
        <v>452</v>
      </c>
      <c r="D14" s="10" t="s">
        <v>453</v>
      </c>
      <c r="E14" s="10" t="s">
        <v>401</v>
      </c>
      <c r="F14" s="10" t="s">
        <v>454</v>
      </c>
      <c r="G14" s="10" t="s">
        <v>408</v>
      </c>
      <c r="H14" s="10" t="s">
        <v>455</v>
      </c>
      <c r="I14" s="10" t="s">
        <v>394</v>
      </c>
    </row>
    <row r="15" customFormat="false" ht="120" hidden="false" customHeight="true" outlineLevel="0" collapsed="false">
      <c r="A15" s="10" t="s">
        <v>456</v>
      </c>
      <c r="B15" s="10" t="s">
        <v>457</v>
      </c>
      <c r="C15" s="10" t="s">
        <v>458</v>
      </c>
      <c r="D15" s="10" t="s">
        <v>389</v>
      </c>
      <c r="E15" s="10" t="s">
        <v>390</v>
      </c>
      <c r="F15" s="10" t="s">
        <v>459</v>
      </c>
      <c r="G15" s="10" t="s">
        <v>392</v>
      </c>
      <c r="H15" s="10" t="s">
        <v>460</v>
      </c>
      <c r="I15" s="10" t="s">
        <v>394</v>
      </c>
    </row>
    <row r="16" customFormat="false" ht="120" hidden="false" customHeight="true" outlineLevel="0" collapsed="false">
      <c r="A16" s="10" t="s">
        <v>461</v>
      </c>
      <c r="B16" s="10" t="s">
        <v>457</v>
      </c>
      <c r="C16" s="10" t="s">
        <v>462</v>
      </c>
      <c r="D16" s="10" t="s">
        <v>453</v>
      </c>
      <c r="E16" s="10" t="s">
        <v>390</v>
      </c>
      <c r="F16" s="10" t="s">
        <v>434</v>
      </c>
      <c r="G16" s="10" t="s">
        <v>444</v>
      </c>
      <c r="H16" s="10" t="s">
        <v>463</v>
      </c>
      <c r="I16" s="10" t="s">
        <v>394</v>
      </c>
    </row>
    <row r="17" customFormat="false" ht="120" hidden="false" customHeight="true" outlineLevel="0" collapsed="false">
      <c r="A17" s="10" t="s">
        <v>464</v>
      </c>
      <c r="B17" s="10" t="s">
        <v>457</v>
      </c>
      <c r="C17" s="10" t="s">
        <v>465</v>
      </c>
      <c r="D17" s="10" t="s">
        <v>466</v>
      </c>
      <c r="E17" s="10" t="s">
        <v>390</v>
      </c>
      <c r="F17" s="10" t="s">
        <v>424</v>
      </c>
      <c r="G17" s="10" t="s">
        <v>425</v>
      </c>
      <c r="H17" s="10" t="s">
        <v>467</v>
      </c>
      <c r="I17" s="10" t="s">
        <v>394</v>
      </c>
    </row>
    <row r="18" customFormat="false" ht="120" hidden="false" customHeight="true" outlineLevel="0" collapsed="false">
      <c r="A18" s="10" t="s">
        <v>468</v>
      </c>
      <c r="B18" s="10" t="s">
        <v>469</v>
      </c>
      <c r="C18" s="10" t="s">
        <v>470</v>
      </c>
      <c r="D18" s="10" t="s">
        <v>453</v>
      </c>
      <c r="E18" s="10" t="s">
        <v>401</v>
      </c>
      <c r="F18" s="10" t="s">
        <v>424</v>
      </c>
      <c r="G18" s="10" t="s">
        <v>425</v>
      </c>
      <c r="H18" s="10" t="s">
        <v>471</v>
      </c>
      <c r="I18" s="10" t="s">
        <v>394</v>
      </c>
    </row>
    <row r="19" customFormat="false" ht="120" hidden="false" customHeight="true" outlineLevel="0" collapsed="false">
      <c r="A19" s="10" t="s">
        <v>472</v>
      </c>
      <c r="B19" s="10" t="s">
        <v>469</v>
      </c>
      <c r="C19" s="10" t="s">
        <v>473</v>
      </c>
      <c r="D19" s="10" t="s">
        <v>453</v>
      </c>
      <c r="E19" s="10" t="s">
        <v>401</v>
      </c>
      <c r="F19" s="10" t="s">
        <v>474</v>
      </c>
      <c r="G19" s="10" t="s">
        <v>425</v>
      </c>
      <c r="H19" s="10" t="s">
        <v>475</v>
      </c>
      <c r="I19" s="10" t="s">
        <v>394</v>
      </c>
    </row>
    <row r="20" customFormat="false" ht="120" hidden="false" customHeight="true" outlineLevel="0" collapsed="false">
      <c r="A20" s="10" t="s">
        <v>476</v>
      </c>
      <c r="B20" s="10" t="s">
        <v>457</v>
      </c>
      <c r="C20" s="10" t="s">
        <v>477</v>
      </c>
      <c r="D20" s="10" t="s">
        <v>389</v>
      </c>
      <c r="E20" s="10" t="s">
        <v>390</v>
      </c>
      <c r="F20" s="10" t="s">
        <v>478</v>
      </c>
      <c r="G20" s="10" t="s">
        <v>392</v>
      </c>
      <c r="H20" s="10" t="s">
        <v>479</v>
      </c>
      <c r="I20" s="10" t="s">
        <v>394</v>
      </c>
    </row>
    <row r="21" customFormat="false" ht="120" hidden="false" customHeight="true" outlineLevel="0" collapsed="false">
      <c r="A21" s="10" t="s">
        <v>480</v>
      </c>
      <c r="B21" s="10" t="s">
        <v>481</v>
      </c>
      <c r="C21" s="10" t="s">
        <v>482</v>
      </c>
      <c r="D21" s="10" t="s">
        <v>453</v>
      </c>
      <c r="E21" s="10" t="s">
        <v>390</v>
      </c>
      <c r="F21" s="10" t="s">
        <v>483</v>
      </c>
      <c r="G21" s="10" t="s">
        <v>392</v>
      </c>
      <c r="H21" s="10" t="s">
        <v>484</v>
      </c>
      <c r="I21" s="10" t="s">
        <v>394</v>
      </c>
    </row>
    <row r="22" customFormat="false" ht="120" hidden="false" customHeight="true" outlineLevel="0" collapsed="false">
      <c r="A22" s="10" t="s">
        <v>485</v>
      </c>
      <c r="B22" s="10" t="s">
        <v>486</v>
      </c>
      <c r="C22" s="10" t="s">
        <v>487</v>
      </c>
      <c r="D22" s="10" t="s">
        <v>389</v>
      </c>
      <c r="E22" s="10" t="s">
        <v>401</v>
      </c>
      <c r="F22" s="10" t="s">
        <v>488</v>
      </c>
      <c r="G22" s="10" t="s">
        <v>403</v>
      </c>
      <c r="H22" s="10" t="s">
        <v>489</v>
      </c>
      <c r="I22" s="10" t="s">
        <v>394</v>
      </c>
    </row>
    <row r="23" customFormat="false" ht="120" hidden="false" customHeight="true" outlineLevel="0" collapsed="false">
      <c r="A23" s="10" t="s">
        <v>490</v>
      </c>
      <c r="B23" s="10" t="s">
        <v>491</v>
      </c>
      <c r="C23" s="10" t="s">
        <v>492</v>
      </c>
      <c r="D23" s="10" t="s">
        <v>389</v>
      </c>
      <c r="E23" s="10" t="s">
        <v>390</v>
      </c>
      <c r="F23" s="10" t="s">
        <v>493</v>
      </c>
      <c r="G23" s="10" t="s">
        <v>408</v>
      </c>
      <c r="H23" s="10" t="s">
        <v>494</v>
      </c>
      <c r="I23" s="10" t="s">
        <v>394</v>
      </c>
    </row>
    <row r="24" customFormat="false" ht="120" hidden="false" customHeight="true" outlineLevel="0" collapsed="false">
      <c r="A24" s="10" t="s">
        <v>495</v>
      </c>
      <c r="B24" s="10" t="s">
        <v>496</v>
      </c>
      <c r="C24" s="10" t="s">
        <v>497</v>
      </c>
      <c r="D24" s="10" t="s">
        <v>389</v>
      </c>
      <c r="E24" s="10" t="s">
        <v>390</v>
      </c>
      <c r="F24" s="10" t="s">
        <v>424</v>
      </c>
      <c r="G24" s="10" t="s">
        <v>425</v>
      </c>
      <c r="H24" s="10" t="s">
        <v>498</v>
      </c>
      <c r="I24" s="10" t="s">
        <v>394</v>
      </c>
    </row>
    <row r="25" customFormat="false" ht="120" hidden="false" customHeight="true" outlineLevel="0" collapsed="false">
      <c r="A25" s="10" t="s">
        <v>499</v>
      </c>
      <c r="B25" s="10" t="s">
        <v>500</v>
      </c>
      <c r="C25" s="10" t="s">
        <v>501</v>
      </c>
      <c r="D25" s="10" t="s">
        <v>502</v>
      </c>
      <c r="E25" s="10" t="s">
        <v>390</v>
      </c>
      <c r="F25" s="10" t="s">
        <v>503</v>
      </c>
      <c r="G25" s="10" t="s">
        <v>403</v>
      </c>
      <c r="H25" s="10" t="s">
        <v>504</v>
      </c>
      <c r="I25" s="10" t="s">
        <v>394</v>
      </c>
    </row>
    <row r="26" customFormat="false" ht="120" hidden="false" customHeight="true" outlineLevel="0" collapsed="false">
      <c r="A26" s="10" t="s">
        <v>505</v>
      </c>
      <c r="B26" s="10" t="s">
        <v>506</v>
      </c>
      <c r="C26" s="10" t="s">
        <v>507</v>
      </c>
      <c r="D26" s="10" t="s">
        <v>453</v>
      </c>
      <c r="E26" s="10" t="s">
        <v>401</v>
      </c>
      <c r="F26" s="10" t="s">
        <v>508</v>
      </c>
      <c r="G26" s="10" t="s">
        <v>392</v>
      </c>
      <c r="H26" s="10" t="s">
        <v>509</v>
      </c>
      <c r="I26" s="10" t="s">
        <v>394</v>
      </c>
    </row>
    <row r="27" customFormat="false" ht="120" hidden="false" customHeight="true" outlineLevel="0" collapsed="false">
      <c r="A27" s="10" t="s">
        <v>510</v>
      </c>
      <c r="B27" s="10" t="s">
        <v>511</v>
      </c>
      <c r="C27" s="10" t="s">
        <v>512</v>
      </c>
      <c r="D27" s="10" t="s">
        <v>389</v>
      </c>
      <c r="E27" s="10" t="s">
        <v>390</v>
      </c>
      <c r="F27" s="10" t="s">
        <v>513</v>
      </c>
      <c r="G27" s="10" t="s">
        <v>392</v>
      </c>
      <c r="H27" s="10" t="s">
        <v>514</v>
      </c>
      <c r="I27" s="10" t="s">
        <v>394</v>
      </c>
    </row>
    <row r="28" customFormat="false" ht="120" hidden="false" customHeight="true" outlineLevel="0" collapsed="false">
      <c r="A28" s="10" t="s">
        <v>515</v>
      </c>
      <c r="B28" s="10" t="s">
        <v>516</v>
      </c>
      <c r="C28" s="10" t="s">
        <v>517</v>
      </c>
      <c r="D28" s="10" t="s">
        <v>389</v>
      </c>
      <c r="E28" s="10" t="s">
        <v>390</v>
      </c>
      <c r="F28" s="10" t="s">
        <v>513</v>
      </c>
      <c r="G28" s="10" t="s">
        <v>403</v>
      </c>
      <c r="H28" s="10" t="s">
        <v>518</v>
      </c>
      <c r="I28" s="10" t="s">
        <v>394</v>
      </c>
    </row>
    <row r="29" customFormat="false" ht="120" hidden="false" customHeight="true" outlineLevel="0" collapsed="false">
      <c r="A29" s="10" t="s">
        <v>519</v>
      </c>
      <c r="B29" s="10" t="s">
        <v>520</v>
      </c>
      <c r="C29" s="10" t="s">
        <v>521</v>
      </c>
      <c r="D29" s="10" t="s">
        <v>453</v>
      </c>
      <c r="E29" s="10" t="s">
        <v>401</v>
      </c>
      <c r="F29" s="10" t="s">
        <v>522</v>
      </c>
      <c r="G29" s="10" t="s">
        <v>392</v>
      </c>
      <c r="H29" s="10" t="s">
        <v>523</v>
      </c>
      <c r="I29" s="10" t="s">
        <v>394</v>
      </c>
    </row>
    <row r="30" customFormat="false" ht="120" hidden="false" customHeight="true" outlineLevel="0" collapsed="false">
      <c r="A30" s="10" t="s">
        <v>524</v>
      </c>
      <c r="B30" s="10" t="s">
        <v>525</v>
      </c>
      <c r="C30" s="10" t="s">
        <v>526</v>
      </c>
      <c r="D30" s="10" t="s">
        <v>389</v>
      </c>
      <c r="E30" s="10" t="s">
        <v>401</v>
      </c>
      <c r="F30" s="10" t="s">
        <v>503</v>
      </c>
      <c r="G30" s="10" t="s">
        <v>392</v>
      </c>
      <c r="H30" s="10" t="s">
        <v>527</v>
      </c>
      <c r="I30" s="10" t="s">
        <v>394</v>
      </c>
    </row>
    <row r="31" customFormat="false" ht="120" hidden="false" customHeight="true" outlineLevel="0" collapsed="false">
      <c r="A31" s="10" t="s">
        <v>528</v>
      </c>
      <c r="B31" s="10" t="s">
        <v>529</v>
      </c>
      <c r="C31" s="10" t="s">
        <v>530</v>
      </c>
      <c r="D31" s="10" t="s">
        <v>531</v>
      </c>
      <c r="E31" s="10" t="s">
        <v>390</v>
      </c>
      <c r="F31" s="10" t="s">
        <v>532</v>
      </c>
      <c r="G31" s="10" t="s">
        <v>392</v>
      </c>
      <c r="H31" s="10" t="s">
        <v>533</v>
      </c>
      <c r="I31" s="10" t="s">
        <v>394</v>
      </c>
    </row>
    <row r="32" customFormat="false" ht="120" hidden="false" customHeight="true" outlineLevel="0" collapsed="false">
      <c r="A32" s="10" t="s">
        <v>534</v>
      </c>
      <c r="B32" s="10" t="s">
        <v>535</v>
      </c>
      <c r="C32" s="10" t="s">
        <v>536</v>
      </c>
      <c r="D32" s="10" t="s">
        <v>537</v>
      </c>
      <c r="E32" s="10" t="s">
        <v>401</v>
      </c>
      <c r="F32" s="10" t="s">
        <v>478</v>
      </c>
      <c r="G32" s="10" t="s">
        <v>392</v>
      </c>
      <c r="H32" s="10" t="s">
        <v>538</v>
      </c>
      <c r="I32" s="10" t="s">
        <v>394</v>
      </c>
    </row>
    <row r="33" customFormat="false" ht="120" hidden="false" customHeight="true" outlineLevel="0" collapsed="false">
      <c r="A33" s="10" t="s">
        <v>539</v>
      </c>
      <c r="B33" s="10" t="s">
        <v>540</v>
      </c>
      <c r="C33" s="10" t="s">
        <v>541</v>
      </c>
      <c r="D33" s="10" t="s">
        <v>389</v>
      </c>
      <c r="E33" s="10" t="s">
        <v>542</v>
      </c>
      <c r="F33" s="10" t="s">
        <v>424</v>
      </c>
      <c r="G33" s="10" t="s">
        <v>425</v>
      </c>
      <c r="H33" s="10" t="s">
        <v>543</v>
      </c>
      <c r="I33" s="10" t="s">
        <v>394</v>
      </c>
    </row>
    <row r="34" customFormat="false" ht="120" hidden="false" customHeight="true" outlineLevel="0" collapsed="false">
      <c r="A34" s="10" t="s">
        <v>544</v>
      </c>
      <c r="B34" s="10" t="s">
        <v>540</v>
      </c>
      <c r="C34" s="10" t="s">
        <v>545</v>
      </c>
      <c r="D34" s="10" t="s">
        <v>546</v>
      </c>
      <c r="E34" s="10" t="s">
        <v>401</v>
      </c>
      <c r="F34" s="10" t="s">
        <v>424</v>
      </c>
      <c r="G34" s="10" t="s">
        <v>425</v>
      </c>
      <c r="H34" s="10" t="s">
        <v>547</v>
      </c>
      <c r="I34" s="10" t="s">
        <v>394</v>
      </c>
    </row>
    <row r="35" customFormat="false" ht="120" hidden="false" customHeight="true" outlineLevel="0" collapsed="false">
      <c r="A35" s="10" t="s">
        <v>548</v>
      </c>
      <c r="B35" s="10" t="s">
        <v>540</v>
      </c>
      <c r="C35" s="10" t="s">
        <v>549</v>
      </c>
      <c r="D35" s="10" t="s">
        <v>550</v>
      </c>
      <c r="E35" s="10" t="s">
        <v>429</v>
      </c>
      <c r="F35" s="10" t="s">
        <v>424</v>
      </c>
      <c r="G35" s="10" t="s">
        <v>425</v>
      </c>
      <c r="H35" s="10" t="s">
        <v>551</v>
      </c>
      <c r="I35" s="10" t="s">
        <v>394</v>
      </c>
    </row>
    <row r="36" customFormat="false" ht="120" hidden="false" customHeight="true" outlineLevel="0" collapsed="false">
      <c r="A36" s="10" t="s">
        <v>552</v>
      </c>
      <c r="B36" s="10" t="s">
        <v>540</v>
      </c>
      <c r="C36" s="10" t="s">
        <v>553</v>
      </c>
      <c r="D36" s="10" t="s">
        <v>546</v>
      </c>
      <c r="E36" s="10" t="s">
        <v>401</v>
      </c>
      <c r="F36" s="10" t="s">
        <v>424</v>
      </c>
      <c r="G36" s="10" t="s">
        <v>425</v>
      </c>
      <c r="H36" s="10" t="s">
        <v>554</v>
      </c>
      <c r="I36" s="10" t="s">
        <v>394</v>
      </c>
    </row>
    <row r="37" customFormat="false" ht="120" hidden="false" customHeight="true" outlineLevel="0" collapsed="false">
      <c r="A37" s="10" t="s">
        <v>555</v>
      </c>
      <c r="B37" s="10" t="s">
        <v>556</v>
      </c>
      <c r="C37" s="10" t="s">
        <v>557</v>
      </c>
      <c r="D37" s="10" t="s">
        <v>453</v>
      </c>
      <c r="E37" s="10" t="s">
        <v>401</v>
      </c>
      <c r="F37" s="10" t="s">
        <v>558</v>
      </c>
      <c r="G37" s="10" t="s">
        <v>392</v>
      </c>
      <c r="H37" s="10" t="s">
        <v>559</v>
      </c>
      <c r="I37" s="10" t="s">
        <v>394</v>
      </c>
    </row>
    <row r="38" customFormat="false" ht="120" hidden="false" customHeight="true" outlineLevel="0" collapsed="false">
      <c r="A38" s="10" t="s">
        <v>560</v>
      </c>
      <c r="B38" s="10" t="s">
        <v>556</v>
      </c>
      <c r="C38" s="10" t="s">
        <v>561</v>
      </c>
      <c r="D38" s="10" t="s">
        <v>389</v>
      </c>
      <c r="E38" s="10" t="s">
        <v>401</v>
      </c>
      <c r="F38" s="10" t="s">
        <v>562</v>
      </c>
      <c r="G38" s="10" t="s">
        <v>403</v>
      </c>
      <c r="H38" s="10" t="s">
        <v>563</v>
      </c>
      <c r="I38" s="10" t="s">
        <v>394</v>
      </c>
    </row>
    <row r="39" customFormat="false" ht="120" hidden="false" customHeight="true" outlineLevel="0" collapsed="false">
      <c r="A39" s="10" t="s">
        <v>564</v>
      </c>
      <c r="B39" s="10" t="s">
        <v>565</v>
      </c>
      <c r="C39" s="10" t="s">
        <v>566</v>
      </c>
      <c r="D39" s="10" t="s">
        <v>453</v>
      </c>
      <c r="E39" s="10" t="s">
        <v>401</v>
      </c>
      <c r="F39" s="10" t="s">
        <v>567</v>
      </c>
      <c r="G39" s="10" t="s">
        <v>403</v>
      </c>
      <c r="H39" s="10" t="s">
        <v>568</v>
      </c>
      <c r="I39" s="10" t="s">
        <v>394</v>
      </c>
    </row>
    <row r="40" customFormat="false" ht="120" hidden="false" customHeight="true" outlineLevel="0" collapsed="false">
      <c r="A40" s="10" t="s">
        <v>569</v>
      </c>
      <c r="B40" s="10" t="s">
        <v>556</v>
      </c>
      <c r="C40" s="10" t="s">
        <v>570</v>
      </c>
      <c r="D40" s="10" t="s">
        <v>546</v>
      </c>
      <c r="E40" s="10" t="s">
        <v>401</v>
      </c>
      <c r="F40" s="10" t="s">
        <v>513</v>
      </c>
      <c r="G40" s="10" t="s">
        <v>392</v>
      </c>
      <c r="H40" s="10" t="s">
        <v>571</v>
      </c>
      <c r="I40" s="10" t="s">
        <v>394</v>
      </c>
    </row>
    <row r="41" customFormat="false" ht="120" hidden="false" customHeight="true" outlineLevel="0" collapsed="false">
      <c r="A41" s="10" t="s">
        <v>572</v>
      </c>
      <c r="B41" s="10" t="s">
        <v>573</v>
      </c>
      <c r="C41" s="10" t="s">
        <v>574</v>
      </c>
      <c r="D41" s="10" t="s">
        <v>550</v>
      </c>
      <c r="E41" s="10" t="s">
        <v>401</v>
      </c>
      <c r="F41" s="10" t="s">
        <v>424</v>
      </c>
      <c r="G41" s="10" t="s">
        <v>392</v>
      </c>
      <c r="H41" s="10" t="s">
        <v>575</v>
      </c>
      <c r="I41" s="10" t="s">
        <v>394</v>
      </c>
    </row>
    <row r="42" customFormat="false" ht="120" hidden="false" customHeight="true" outlineLevel="0" collapsed="false">
      <c r="A42" s="10" t="s">
        <v>576</v>
      </c>
      <c r="B42" s="10" t="s">
        <v>577</v>
      </c>
      <c r="C42" s="10" t="s">
        <v>578</v>
      </c>
      <c r="D42" s="10" t="s">
        <v>389</v>
      </c>
      <c r="E42" s="10" t="s">
        <v>390</v>
      </c>
      <c r="F42" s="10" t="s">
        <v>424</v>
      </c>
      <c r="G42" s="10" t="s">
        <v>392</v>
      </c>
      <c r="H42" s="10" t="s">
        <v>579</v>
      </c>
      <c r="I42" s="10" t="s">
        <v>394</v>
      </c>
    </row>
    <row r="43" customFormat="false" ht="120" hidden="false" customHeight="true" outlineLevel="0" collapsed="false">
      <c r="A43" s="10" t="s">
        <v>580</v>
      </c>
      <c r="B43" s="10" t="s">
        <v>581</v>
      </c>
      <c r="C43" s="10" t="s">
        <v>582</v>
      </c>
      <c r="D43" s="10" t="s">
        <v>424</v>
      </c>
      <c r="E43" s="10" t="s">
        <v>583</v>
      </c>
      <c r="F43" s="10" t="s">
        <v>424</v>
      </c>
      <c r="G43" s="10" t="s">
        <v>425</v>
      </c>
      <c r="H43" s="10" t="s">
        <v>584</v>
      </c>
      <c r="I43" s="10" t="s">
        <v>394</v>
      </c>
    </row>
    <row r="44" customFormat="false" ht="120" hidden="false" customHeight="true" outlineLevel="0" collapsed="false">
      <c r="A44" s="10" t="s">
        <v>585</v>
      </c>
      <c r="B44" s="10" t="s">
        <v>586</v>
      </c>
      <c r="C44" s="10" t="s">
        <v>587</v>
      </c>
      <c r="D44" s="10" t="s">
        <v>588</v>
      </c>
      <c r="E44" s="10" t="s">
        <v>390</v>
      </c>
      <c r="F44" s="10" t="s">
        <v>589</v>
      </c>
      <c r="G44" s="10" t="s">
        <v>392</v>
      </c>
      <c r="H44" s="10" t="s">
        <v>590</v>
      </c>
      <c r="I44" s="10" t="s">
        <v>394</v>
      </c>
    </row>
    <row r="45" customFormat="false" ht="120" hidden="false" customHeight="true" outlineLevel="0" collapsed="false">
      <c r="A45" s="10" t="s">
        <v>591</v>
      </c>
      <c r="B45" s="10" t="s">
        <v>592</v>
      </c>
      <c r="C45" s="10" t="s">
        <v>593</v>
      </c>
      <c r="D45" s="10" t="s">
        <v>453</v>
      </c>
      <c r="E45" s="10" t="s">
        <v>390</v>
      </c>
      <c r="F45" s="10" t="s">
        <v>513</v>
      </c>
      <c r="G45" s="10" t="s">
        <v>392</v>
      </c>
      <c r="H45" s="10" t="s">
        <v>594</v>
      </c>
      <c r="I45" s="10" t="s">
        <v>394</v>
      </c>
    </row>
    <row r="46" customFormat="false" ht="120" hidden="false" customHeight="true" outlineLevel="0" collapsed="false">
      <c r="A46" s="10" t="s">
        <v>595</v>
      </c>
      <c r="B46" s="10" t="s">
        <v>586</v>
      </c>
      <c r="C46" s="10" t="s">
        <v>596</v>
      </c>
      <c r="D46" s="10" t="s">
        <v>412</v>
      </c>
      <c r="E46" s="10" t="s">
        <v>401</v>
      </c>
      <c r="F46" s="10" t="s">
        <v>424</v>
      </c>
      <c r="G46" s="10" t="s">
        <v>392</v>
      </c>
      <c r="H46" s="10" t="s">
        <v>597</v>
      </c>
      <c r="I46" s="10" t="s">
        <v>394</v>
      </c>
    </row>
    <row r="47" customFormat="false" ht="120" hidden="false" customHeight="true" outlineLevel="0" collapsed="false">
      <c r="A47" s="10" t="s">
        <v>598</v>
      </c>
      <c r="B47" s="10" t="s">
        <v>599</v>
      </c>
      <c r="C47" s="10" t="s">
        <v>600</v>
      </c>
      <c r="D47" s="10" t="s">
        <v>389</v>
      </c>
      <c r="E47" s="10" t="s">
        <v>401</v>
      </c>
      <c r="F47" s="10" t="s">
        <v>478</v>
      </c>
      <c r="G47" s="10" t="s">
        <v>392</v>
      </c>
      <c r="H47" s="10" t="s">
        <v>601</v>
      </c>
      <c r="I47" s="10" t="s">
        <v>394</v>
      </c>
    </row>
    <row r="48" customFormat="false" ht="120" hidden="false" customHeight="true" outlineLevel="0" collapsed="false">
      <c r="A48" s="10" t="s">
        <v>602</v>
      </c>
      <c r="B48" s="10" t="s">
        <v>603</v>
      </c>
      <c r="C48" s="10" t="s">
        <v>604</v>
      </c>
      <c r="D48" s="10" t="s">
        <v>453</v>
      </c>
      <c r="E48" s="10" t="s">
        <v>401</v>
      </c>
      <c r="F48" s="10" t="s">
        <v>605</v>
      </c>
      <c r="G48" s="10" t="s">
        <v>403</v>
      </c>
      <c r="H48" s="10" t="s">
        <v>606</v>
      </c>
      <c r="I48" s="10" t="s">
        <v>394</v>
      </c>
    </row>
    <row r="49" customFormat="false" ht="120" hidden="false" customHeight="true" outlineLevel="0" collapsed="false">
      <c r="A49" s="10" t="s">
        <v>607</v>
      </c>
      <c r="B49" s="10" t="s">
        <v>608</v>
      </c>
      <c r="C49" s="10" t="s">
        <v>609</v>
      </c>
      <c r="D49" s="10" t="s">
        <v>610</v>
      </c>
      <c r="E49" s="10" t="s">
        <v>401</v>
      </c>
      <c r="F49" s="10" t="s">
        <v>424</v>
      </c>
      <c r="G49" s="10" t="s">
        <v>425</v>
      </c>
      <c r="H49" s="10" t="s">
        <v>611</v>
      </c>
      <c r="I49" s="10" t="s">
        <v>394</v>
      </c>
    </row>
    <row r="50" customFormat="false" ht="120" hidden="false" customHeight="true" outlineLevel="0" collapsed="false">
      <c r="A50" s="10" t="s">
        <v>612</v>
      </c>
      <c r="B50" s="10" t="s">
        <v>608</v>
      </c>
      <c r="C50" s="10" t="s">
        <v>613</v>
      </c>
      <c r="D50" s="10" t="s">
        <v>610</v>
      </c>
      <c r="E50" s="10" t="s">
        <v>401</v>
      </c>
      <c r="F50" s="10" t="s">
        <v>522</v>
      </c>
      <c r="G50" s="10" t="s">
        <v>403</v>
      </c>
      <c r="H50" s="10" t="s">
        <v>614</v>
      </c>
      <c r="I50" s="10" t="s">
        <v>394</v>
      </c>
    </row>
    <row r="51" customFormat="false" ht="120" hidden="false" customHeight="true" outlineLevel="0" collapsed="false">
      <c r="A51" s="10" t="s">
        <v>615</v>
      </c>
      <c r="B51" s="10" t="s">
        <v>608</v>
      </c>
      <c r="C51" s="10" t="s">
        <v>616</v>
      </c>
      <c r="D51" s="10" t="s">
        <v>617</v>
      </c>
      <c r="E51" s="10" t="s">
        <v>429</v>
      </c>
      <c r="F51" s="10" t="s">
        <v>424</v>
      </c>
      <c r="G51" s="10" t="s">
        <v>392</v>
      </c>
      <c r="H51" s="10" t="s">
        <v>618</v>
      </c>
      <c r="I51" s="10" t="s">
        <v>394</v>
      </c>
    </row>
    <row r="52" customFormat="false" ht="120" hidden="false" customHeight="true" outlineLevel="0" collapsed="false">
      <c r="A52" s="10" t="s">
        <v>619</v>
      </c>
      <c r="B52" s="10" t="s">
        <v>608</v>
      </c>
      <c r="C52" s="10" t="s">
        <v>620</v>
      </c>
      <c r="D52" s="10" t="s">
        <v>617</v>
      </c>
      <c r="E52" s="10" t="s">
        <v>429</v>
      </c>
      <c r="F52" s="10" t="s">
        <v>424</v>
      </c>
      <c r="G52" s="10" t="s">
        <v>392</v>
      </c>
      <c r="H52" s="10" t="s">
        <v>621</v>
      </c>
      <c r="I52" s="10" t="s">
        <v>394</v>
      </c>
    </row>
    <row r="53" customFormat="false" ht="120" hidden="false" customHeight="true" outlineLevel="0" collapsed="false">
      <c r="A53" s="10" t="s">
        <v>622</v>
      </c>
      <c r="B53" s="10" t="s">
        <v>608</v>
      </c>
      <c r="C53" s="10" t="s">
        <v>623</v>
      </c>
      <c r="D53" s="10" t="s">
        <v>389</v>
      </c>
      <c r="E53" s="10" t="s">
        <v>401</v>
      </c>
      <c r="F53" s="10" t="s">
        <v>424</v>
      </c>
      <c r="G53" s="10" t="s">
        <v>392</v>
      </c>
      <c r="H53" s="10" t="s">
        <v>624</v>
      </c>
      <c r="I53" s="10" t="s">
        <v>394</v>
      </c>
    </row>
    <row r="54" customFormat="false" ht="120" hidden="false" customHeight="true" outlineLevel="0" collapsed="false">
      <c r="A54" s="10" t="s">
        <v>625</v>
      </c>
      <c r="B54" s="10" t="s">
        <v>626</v>
      </c>
      <c r="C54" s="10" t="s">
        <v>627</v>
      </c>
      <c r="D54" s="10" t="s">
        <v>389</v>
      </c>
      <c r="E54" s="10" t="s">
        <v>390</v>
      </c>
      <c r="F54" s="10" t="s">
        <v>397</v>
      </c>
      <c r="G54" s="10" t="s">
        <v>392</v>
      </c>
      <c r="H54" s="10" t="s">
        <v>628</v>
      </c>
      <c r="I54" s="10" t="s">
        <v>394</v>
      </c>
    </row>
    <row r="55" customFormat="false" ht="120" hidden="false" customHeight="true" outlineLevel="0" collapsed="false">
      <c r="A55" s="10" t="s">
        <v>629</v>
      </c>
      <c r="B55" s="10" t="s">
        <v>630</v>
      </c>
      <c r="C55" s="10" t="s">
        <v>631</v>
      </c>
      <c r="D55" s="10" t="s">
        <v>453</v>
      </c>
      <c r="E55" s="10" t="s">
        <v>401</v>
      </c>
      <c r="F55" s="10" t="s">
        <v>632</v>
      </c>
      <c r="G55" s="10" t="s">
        <v>408</v>
      </c>
      <c r="H55" s="10" t="s">
        <v>633</v>
      </c>
      <c r="I55" s="10" t="s">
        <v>394</v>
      </c>
    </row>
    <row r="56" customFormat="false" ht="120" hidden="false" customHeight="true" outlineLevel="0" collapsed="false">
      <c r="A56" s="10" t="s">
        <v>634</v>
      </c>
      <c r="B56" s="10" t="s">
        <v>630</v>
      </c>
      <c r="C56" s="10" t="s">
        <v>635</v>
      </c>
      <c r="D56" s="10" t="s">
        <v>453</v>
      </c>
      <c r="E56" s="10" t="s">
        <v>429</v>
      </c>
      <c r="F56" s="10" t="s">
        <v>424</v>
      </c>
      <c r="G56" s="10" t="s">
        <v>425</v>
      </c>
      <c r="H56" s="10" t="s">
        <v>636</v>
      </c>
      <c r="I56" s="10" t="s">
        <v>394</v>
      </c>
    </row>
    <row r="57" customFormat="false" ht="120" hidden="false" customHeight="true" outlineLevel="0" collapsed="false">
      <c r="A57" s="10" t="s">
        <v>637</v>
      </c>
      <c r="B57" s="10" t="s">
        <v>638</v>
      </c>
      <c r="C57" s="10" t="s">
        <v>639</v>
      </c>
      <c r="D57" s="10" t="s">
        <v>617</v>
      </c>
      <c r="E57" s="10" t="s">
        <v>429</v>
      </c>
      <c r="F57" s="10" t="s">
        <v>503</v>
      </c>
      <c r="G57" s="10" t="s">
        <v>403</v>
      </c>
      <c r="H57" s="10" t="s">
        <v>640</v>
      </c>
      <c r="I57" s="10" t="s">
        <v>394</v>
      </c>
    </row>
    <row r="58" customFormat="false" ht="120" hidden="false" customHeight="true" outlineLevel="0" collapsed="false">
      <c r="A58" s="10" t="s">
        <v>641</v>
      </c>
      <c r="B58" s="10" t="s">
        <v>642</v>
      </c>
      <c r="C58" s="10" t="s">
        <v>643</v>
      </c>
      <c r="D58" s="10" t="s">
        <v>546</v>
      </c>
      <c r="E58" s="10" t="s">
        <v>401</v>
      </c>
      <c r="F58" s="10" t="s">
        <v>424</v>
      </c>
      <c r="G58" s="10" t="s">
        <v>425</v>
      </c>
      <c r="H58" s="10" t="s">
        <v>644</v>
      </c>
      <c r="I58" s="10" t="s">
        <v>394</v>
      </c>
    </row>
    <row r="59" customFormat="false" ht="120" hidden="false" customHeight="true" outlineLevel="0" collapsed="false">
      <c r="A59" s="10" t="s">
        <v>645</v>
      </c>
      <c r="B59" s="10" t="s">
        <v>646</v>
      </c>
      <c r="C59" s="10" t="s">
        <v>647</v>
      </c>
      <c r="D59" s="10" t="s">
        <v>389</v>
      </c>
      <c r="E59" s="10" t="s">
        <v>401</v>
      </c>
      <c r="F59" s="10" t="s">
        <v>648</v>
      </c>
      <c r="G59" s="10" t="s">
        <v>403</v>
      </c>
      <c r="H59" s="10" t="s">
        <v>649</v>
      </c>
      <c r="I59" s="10" t="s">
        <v>394</v>
      </c>
    </row>
    <row r="60" customFormat="false" ht="120" hidden="false" customHeight="true" outlineLevel="0" collapsed="false">
      <c r="A60" s="10" t="s">
        <v>650</v>
      </c>
      <c r="B60" s="10" t="s">
        <v>651</v>
      </c>
      <c r="C60" s="10" t="s">
        <v>652</v>
      </c>
      <c r="D60" s="10" t="s">
        <v>389</v>
      </c>
      <c r="E60" s="10" t="s">
        <v>401</v>
      </c>
      <c r="F60" s="10" t="s">
        <v>562</v>
      </c>
      <c r="G60" s="10" t="s">
        <v>403</v>
      </c>
      <c r="H60" s="10" t="s">
        <v>653</v>
      </c>
      <c r="I60" s="10" t="s">
        <v>394</v>
      </c>
    </row>
    <row r="61" customFormat="false" ht="120" hidden="false" customHeight="true" outlineLevel="0" collapsed="false">
      <c r="A61" s="10" t="s">
        <v>654</v>
      </c>
      <c r="B61" s="10" t="s">
        <v>655</v>
      </c>
      <c r="C61" s="10" t="s">
        <v>656</v>
      </c>
      <c r="D61" s="10" t="s">
        <v>617</v>
      </c>
      <c r="E61" s="10" t="s">
        <v>429</v>
      </c>
      <c r="F61" s="10" t="s">
        <v>483</v>
      </c>
      <c r="G61" s="10" t="s">
        <v>392</v>
      </c>
      <c r="H61" s="10" t="s">
        <v>657</v>
      </c>
      <c r="I61" s="10" t="s">
        <v>394</v>
      </c>
    </row>
    <row r="62" customFormat="false" ht="120" hidden="false" customHeight="true" outlineLevel="0" collapsed="false">
      <c r="A62" s="10" t="s">
        <v>658</v>
      </c>
      <c r="B62" s="10" t="s">
        <v>659</v>
      </c>
      <c r="C62" s="10" t="s">
        <v>660</v>
      </c>
      <c r="D62" s="10" t="s">
        <v>661</v>
      </c>
      <c r="E62" s="10" t="s">
        <v>401</v>
      </c>
      <c r="F62" s="10" t="s">
        <v>662</v>
      </c>
      <c r="G62" s="10" t="s">
        <v>392</v>
      </c>
      <c r="H62" s="10" t="s">
        <v>663</v>
      </c>
      <c r="I62" s="10" t="s">
        <v>394</v>
      </c>
    </row>
    <row r="63" customFormat="false" ht="120" hidden="false" customHeight="true" outlineLevel="0" collapsed="false">
      <c r="A63" s="10" t="s">
        <v>664</v>
      </c>
      <c r="B63" s="10" t="s">
        <v>659</v>
      </c>
      <c r="C63" s="10" t="s">
        <v>665</v>
      </c>
      <c r="D63" s="10" t="s">
        <v>412</v>
      </c>
      <c r="E63" s="10" t="s">
        <v>401</v>
      </c>
      <c r="F63" s="10" t="s">
        <v>424</v>
      </c>
      <c r="G63" s="10" t="s">
        <v>392</v>
      </c>
      <c r="H63" s="10" t="s">
        <v>666</v>
      </c>
      <c r="I63" s="10" t="s">
        <v>394</v>
      </c>
    </row>
    <row r="64" customFormat="false" ht="120" hidden="false" customHeight="true" outlineLevel="0" collapsed="false">
      <c r="A64" s="10" t="s">
        <v>667</v>
      </c>
      <c r="B64" s="10" t="s">
        <v>659</v>
      </c>
      <c r="C64" s="10" t="s">
        <v>668</v>
      </c>
      <c r="D64" s="10" t="s">
        <v>412</v>
      </c>
      <c r="E64" s="10" t="s">
        <v>401</v>
      </c>
      <c r="F64" s="10" t="s">
        <v>669</v>
      </c>
      <c r="G64" s="10" t="s">
        <v>408</v>
      </c>
      <c r="H64" s="10" t="s">
        <v>670</v>
      </c>
      <c r="I64" s="10" t="s">
        <v>394</v>
      </c>
    </row>
    <row r="65" customFormat="false" ht="120" hidden="false" customHeight="true" outlineLevel="0" collapsed="false">
      <c r="A65" s="10" t="s">
        <v>671</v>
      </c>
      <c r="B65" s="10" t="s">
        <v>421</v>
      </c>
      <c r="C65" s="10" t="s">
        <v>672</v>
      </c>
      <c r="D65" s="10" t="s">
        <v>453</v>
      </c>
      <c r="E65" s="10" t="s">
        <v>390</v>
      </c>
      <c r="F65" s="10" t="s">
        <v>424</v>
      </c>
      <c r="G65" s="10" t="s">
        <v>403</v>
      </c>
      <c r="H65" s="10" t="s">
        <v>673</v>
      </c>
      <c r="I65" s="10" t="s">
        <v>394</v>
      </c>
    </row>
    <row r="66" customFormat="false" ht="120" hidden="false" customHeight="true" outlineLevel="0" collapsed="false">
      <c r="A66" s="10" t="s">
        <v>674</v>
      </c>
      <c r="B66" s="10" t="s">
        <v>432</v>
      </c>
      <c r="C66" s="10" t="s">
        <v>675</v>
      </c>
      <c r="D66" s="10" t="s">
        <v>389</v>
      </c>
      <c r="E66" s="10" t="s">
        <v>429</v>
      </c>
      <c r="F66" s="10" t="s">
        <v>424</v>
      </c>
      <c r="G66" s="10" t="s">
        <v>425</v>
      </c>
      <c r="H66" s="10" t="s">
        <v>676</v>
      </c>
      <c r="I66" s="10" t="s">
        <v>394</v>
      </c>
    </row>
    <row r="67" customFormat="false" ht="120" hidden="false" customHeight="true" outlineLevel="0" collapsed="false">
      <c r="A67" s="10" t="s">
        <v>677</v>
      </c>
      <c r="B67" s="10" t="s">
        <v>525</v>
      </c>
      <c r="C67" s="10" t="s">
        <v>678</v>
      </c>
      <c r="D67" s="10" t="s">
        <v>679</v>
      </c>
      <c r="E67" s="10" t="s">
        <v>401</v>
      </c>
      <c r="F67" s="10" t="s">
        <v>680</v>
      </c>
      <c r="G67" s="10" t="s">
        <v>392</v>
      </c>
      <c r="H67" s="10" t="s">
        <v>681</v>
      </c>
      <c r="I67" s="10" t="s">
        <v>394</v>
      </c>
    </row>
    <row r="68" customFormat="false" ht="120" hidden="false" customHeight="true" outlineLevel="0" collapsed="false">
      <c r="A68" s="10" t="s">
        <v>682</v>
      </c>
      <c r="B68" s="10" t="s">
        <v>683</v>
      </c>
      <c r="C68" s="10" t="s">
        <v>684</v>
      </c>
      <c r="D68" s="10" t="s">
        <v>453</v>
      </c>
      <c r="E68" s="10" t="s">
        <v>401</v>
      </c>
      <c r="F68" s="10" t="s">
        <v>503</v>
      </c>
      <c r="G68" s="10" t="s">
        <v>403</v>
      </c>
      <c r="H68" s="10" t="s">
        <v>685</v>
      </c>
      <c r="I68" s="10" t="s">
        <v>394</v>
      </c>
    </row>
    <row r="69" customFormat="false" ht="120" hidden="false" customHeight="true" outlineLevel="0" collapsed="false">
      <c r="A69" s="10" t="s">
        <v>686</v>
      </c>
      <c r="B69" s="10" t="s">
        <v>687</v>
      </c>
      <c r="C69" s="10" t="s">
        <v>688</v>
      </c>
      <c r="D69" s="10" t="s">
        <v>389</v>
      </c>
      <c r="E69" s="10" t="s">
        <v>401</v>
      </c>
      <c r="F69" s="10" t="s">
        <v>478</v>
      </c>
      <c r="G69" s="10" t="s">
        <v>403</v>
      </c>
      <c r="H69" s="10" t="s">
        <v>689</v>
      </c>
      <c r="I69" s="10" t="s">
        <v>394</v>
      </c>
    </row>
    <row r="70" customFormat="false" ht="120" hidden="false" customHeight="true" outlineLevel="0" collapsed="false">
      <c r="A70" s="10" t="s">
        <v>690</v>
      </c>
      <c r="B70" s="10" t="s">
        <v>457</v>
      </c>
      <c r="C70" s="10" t="s">
        <v>691</v>
      </c>
      <c r="D70" s="10" t="s">
        <v>389</v>
      </c>
      <c r="E70" s="10" t="s">
        <v>429</v>
      </c>
      <c r="F70" s="10" t="s">
        <v>692</v>
      </c>
      <c r="G70" s="10" t="s">
        <v>392</v>
      </c>
      <c r="H70" s="10" t="s">
        <v>693</v>
      </c>
      <c r="I70" s="10" t="s">
        <v>394</v>
      </c>
    </row>
    <row r="71" customFormat="false" ht="120" hidden="false" customHeight="true" outlineLevel="0" collapsed="false">
      <c r="A71" s="10" t="s">
        <v>694</v>
      </c>
      <c r="B71" s="10" t="s">
        <v>608</v>
      </c>
      <c r="C71" s="10" t="s">
        <v>695</v>
      </c>
      <c r="D71" s="10" t="s">
        <v>610</v>
      </c>
      <c r="E71" s="10" t="s">
        <v>401</v>
      </c>
      <c r="F71" s="10" t="s">
        <v>424</v>
      </c>
      <c r="G71" s="10" t="s">
        <v>425</v>
      </c>
      <c r="H71" s="10" t="s">
        <v>696</v>
      </c>
      <c r="I71" s="10" t="s">
        <v>394</v>
      </c>
    </row>
    <row r="72" customFormat="false" ht="120" hidden="false" customHeight="true" outlineLevel="0" collapsed="false">
      <c r="A72" s="10" t="s">
        <v>697</v>
      </c>
      <c r="B72" s="10" t="s">
        <v>608</v>
      </c>
      <c r="C72" s="10" t="s">
        <v>698</v>
      </c>
      <c r="D72" s="10" t="s">
        <v>699</v>
      </c>
      <c r="E72" s="10" t="s">
        <v>429</v>
      </c>
      <c r="F72" s="10" t="s">
        <v>424</v>
      </c>
      <c r="G72" s="10" t="s">
        <v>425</v>
      </c>
      <c r="H72" s="10" t="s">
        <v>700</v>
      </c>
      <c r="I72" s="10" t="s">
        <v>394</v>
      </c>
    </row>
    <row r="73" customFormat="false" ht="120" hidden="false" customHeight="true" outlineLevel="0" collapsed="false">
      <c r="A73" s="10" t="s">
        <v>701</v>
      </c>
      <c r="B73" s="10" t="s">
        <v>702</v>
      </c>
      <c r="C73" s="10" t="s">
        <v>703</v>
      </c>
      <c r="D73" s="10" t="s">
        <v>704</v>
      </c>
      <c r="E73" s="10" t="s">
        <v>401</v>
      </c>
      <c r="F73" s="10" t="s">
        <v>424</v>
      </c>
      <c r="G73" s="10" t="s">
        <v>425</v>
      </c>
      <c r="H73" s="10" t="s">
        <v>705</v>
      </c>
      <c r="I73" s="10" t="s">
        <v>394</v>
      </c>
    </row>
    <row r="74" customFormat="false" ht="120" hidden="false" customHeight="true" outlineLevel="0" collapsed="false">
      <c r="A74" s="10" t="s">
        <v>706</v>
      </c>
      <c r="B74" s="10" t="s">
        <v>626</v>
      </c>
      <c r="C74" s="10" t="s">
        <v>707</v>
      </c>
      <c r="D74" s="10" t="s">
        <v>389</v>
      </c>
      <c r="E74" s="10" t="s">
        <v>429</v>
      </c>
      <c r="F74" s="10" t="s">
        <v>708</v>
      </c>
      <c r="G74" s="10" t="s">
        <v>403</v>
      </c>
      <c r="H74" s="10" t="s">
        <v>709</v>
      </c>
      <c r="I74" s="10" t="s">
        <v>394</v>
      </c>
    </row>
    <row r="75" customFormat="false" ht="120" hidden="false" customHeight="true" outlineLevel="0" collapsed="false">
      <c r="A75" s="10" t="s">
        <v>710</v>
      </c>
      <c r="B75" s="10" t="s">
        <v>592</v>
      </c>
      <c r="C75" s="10" t="s">
        <v>711</v>
      </c>
      <c r="D75" s="10" t="s">
        <v>453</v>
      </c>
      <c r="E75" s="10" t="s">
        <v>401</v>
      </c>
      <c r="F75" s="10" t="s">
        <v>589</v>
      </c>
      <c r="G75" s="10" t="s">
        <v>392</v>
      </c>
      <c r="H75" s="10" t="s">
        <v>712</v>
      </c>
      <c r="I75" s="10" t="s">
        <v>394</v>
      </c>
    </row>
    <row r="76" customFormat="false" ht="120" hidden="false" customHeight="true" outlineLevel="0" collapsed="false">
      <c r="A76" s="10" t="s">
        <v>713</v>
      </c>
      <c r="B76" s="10" t="s">
        <v>586</v>
      </c>
      <c r="C76" s="10" t="s">
        <v>714</v>
      </c>
      <c r="D76" s="10" t="s">
        <v>617</v>
      </c>
      <c r="E76" s="10" t="s">
        <v>429</v>
      </c>
      <c r="F76" s="10" t="s">
        <v>424</v>
      </c>
      <c r="G76" s="10" t="s">
        <v>392</v>
      </c>
      <c r="H76" s="10" t="s">
        <v>715</v>
      </c>
      <c r="I76" s="10" t="s">
        <v>394</v>
      </c>
    </row>
    <row r="77" customFormat="false" ht="120" hidden="false" customHeight="true" outlineLevel="0" collapsed="false">
      <c r="A77" s="10" t="s">
        <v>716</v>
      </c>
      <c r="B77" s="10" t="s">
        <v>500</v>
      </c>
      <c r="C77" s="10" t="s">
        <v>717</v>
      </c>
      <c r="D77" s="10" t="s">
        <v>453</v>
      </c>
      <c r="E77" s="10" t="s">
        <v>401</v>
      </c>
      <c r="F77" s="10" t="s">
        <v>503</v>
      </c>
      <c r="G77" s="10" t="s">
        <v>403</v>
      </c>
      <c r="H77" s="10" t="s">
        <v>718</v>
      </c>
      <c r="I77" s="10" t="s">
        <v>394</v>
      </c>
    </row>
    <row r="78" customFormat="false" ht="120" hidden="false" customHeight="true" outlineLevel="0" collapsed="false">
      <c r="A78" s="10" t="s">
        <v>719</v>
      </c>
      <c r="B78" s="10" t="s">
        <v>720</v>
      </c>
      <c r="C78" s="10" t="s">
        <v>721</v>
      </c>
      <c r="D78" s="10" t="s">
        <v>389</v>
      </c>
      <c r="E78" s="10" t="s">
        <v>401</v>
      </c>
      <c r="F78" s="10" t="s">
        <v>424</v>
      </c>
      <c r="G78" s="10" t="s">
        <v>425</v>
      </c>
      <c r="H78" s="10" t="s">
        <v>722</v>
      </c>
      <c r="I78" s="10" t="s">
        <v>394</v>
      </c>
    </row>
    <row r="79" customFormat="false" ht="120" hidden="false" customHeight="true" outlineLevel="0" collapsed="false">
      <c r="A79" s="10" t="s">
        <v>723</v>
      </c>
      <c r="B79" s="10" t="s">
        <v>724</v>
      </c>
      <c r="C79" s="10" t="s">
        <v>725</v>
      </c>
      <c r="D79" s="10" t="s">
        <v>412</v>
      </c>
      <c r="E79" s="10" t="s">
        <v>390</v>
      </c>
      <c r="F79" s="10" t="s">
        <v>424</v>
      </c>
      <c r="G79" s="10" t="s">
        <v>425</v>
      </c>
      <c r="H79" s="10" t="s">
        <v>726</v>
      </c>
      <c r="I79" s="10" t="s">
        <v>394</v>
      </c>
    </row>
    <row r="80" customFormat="false" ht="120" hidden="false" customHeight="true" outlineLevel="0" collapsed="false">
      <c r="A80" s="10" t="s">
        <v>727</v>
      </c>
      <c r="B80" s="10" t="s">
        <v>728</v>
      </c>
      <c r="C80" s="10" t="s">
        <v>729</v>
      </c>
      <c r="D80" s="10" t="s">
        <v>546</v>
      </c>
      <c r="E80" s="10" t="s">
        <v>401</v>
      </c>
      <c r="F80" s="10" t="s">
        <v>424</v>
      </c>
      <c r="G80" s="10" t="s">
        <v>425</v>
      </c>
      <c r="H80" s="10" t="s">
        <v>730</v>
      </c>
      <c r="I80" s="10" t="s">
        <v>394</v>
      </c>
    </row>
    <row r="81" customFormat="false" ht="120" hidden="false" customHeight="true" outlineLevel="0" collapsed="false">
      <c r="A81" s="10" t="s">
        <v>731</v>
      </c>
      <c r="B81" s="10" t="s">
        <v>732</v>
      </c>
      <c r="C81" s="10" t="s">
        <v>733</v>
      </c>
      <c r="D81" s="10" t="s">
        <v>389</v>
      </c>
      <c r="E81" s="10" t="s">
        <v>401</v>
      </c>
      <c r="F81" s="10" t="s">
        <v>424</v>
      </c>
      <c r="G81" s="10" t="s">
        <v>425</v>
      </c>
      <c r="H81" s="10" t="s">
        <v>734</v>
      </c>
      <c r="I81" s="10" t="s">
        <v>394</v>
      </c>
    </row>
    <row r="82" customFormat="false" ht="120" hidden="false" customHeight="true" outlineLevel="0" collapsed="false">
      <c r="A82" s="10" t="s">
        <v>735</v>
      </c>
      <c r="B82" s="10" t="s">
        <v>736</v>
      </c>
      <c r="C82" s="10" t="s">
        <v>737</v>
      </c>
      <c r="D82" s="10" t="s">
        <v>738</v>
      </c>
      <c r="E82" s="10"/>
      <c r="F82" s="10" t="s">
        <v>478</v>
      </c>
      <c r="G82" s="10" t="s">
        <v>403</v>
      </c>
      <c r="H82" s="10" t="s">
        <v>739</v>
      </c>
      <c r="I82" s="10" t="s">
        <v>394</v>
      </c>
    </row>
    <row r="83" customFormat="false" ht="120" hidden="false" customHeight="true" outlineLevel="0" collapsed="false">
      <c r="A83" s="10" t="s">
        <v>740</v>
      </c>
      <c r="B83" s="10" t="s">
        <v>736</v>
      </c>
      <c r="C83" s="10" t="s">
        <v>741</v>
      </c>
      <c r="D83" s="10" t="s">
        <v>742</v>
      </c>
      <c r="E83" s="10"/>
      <c r="F83" s="10" t="s">
        <v>513</v>
      </c>
      <c r="G83" s="10" t="s">
        <v>392</v>
      </c>
      <c r="H83" s="10" t="s">
        <v>743</v>
      </c>
      <c r="I83" s="10" t="s">
        <v>394</v>
      </c>
    </row>
    <row r="84" customFormat="false" ht="120" hidden="false" customHeight="true" outlineLevel="0" collapsed="false">
      <c r="A84" s="10" t="s">
        <v>744</v>
      </c>
      <c r="B84" s="10" t="s">
        <v>736</v>
      </c>
      <c r="C84" s="10" t="s">
        <v>745</v>
      </c>
      <c r="D84" s="10" t="s">
        <v>746</v>
      </c>
      <c r="E84" s="10"/>
      <c r="F84" s="10" t="s">
        <v>478</v>
      </c>
      <c r="G84" s="10" t="s">
        <v>392</v>
      </c>
      <c r="H84" s="10" t="s">
        <v>747</v>
      </c>
      <c r="I84" s="10" t="s">
        <v>394</v>
      </c>
    </row>
    <row r="85" customFormat="false" ht="120" hidden="false" customHeight="true" outlineLevel="0" collapsed="false">
      <c r="A85" s="10" t="s">
        <v>748</v>
      </c>
      <c r="B85" s="10" t="s">
        <v>736</v>
      </c>
      <c r="C85" s="10" t="s">
        <v>749</v>
      </c>
      <c r="D85" s="10" t="s">
        <v>750</v>
      </c>
      <c r="E85" s="10"/>
      <c r="F85" s="10" t="s">
        <v>478</v>
      </c>
      <c r="G85" s="10" t="s">
        <v>392</v>
      </c>
      <c r="H85" s="10" t="s">
        <v>751</v>
      </c>
      <c r="I85" s="10" t="s">
        <v>394</v>
      </c>
    </row>
    <row r="86" customFormat="false" ht="120" hidden="false" customHeight="true" outlineLevel="0" collapsed="false">
      <c r="A86" s="10" t="s">
        <v>752</v>
      </c>
      <c r="B86" s="10" t="s">
        <v>736</v>
      </c>
      <c r="C86" s="10" t="s">
        <v>753</v>
      </c>
      <c r="D86" s="10" t="s">
        <v>742</v>
      </c>
      <c r="E86" s="10"/>
      <c r="F86" s="10" t="s">
        <v>478</v>
      </c>
      <c r="G86" s="10" t="s">
        <v>392</v>
      </c>
      <c r="H86" s="10" t="s">
        <v>754</v>
      </c>
      <c r="I86" s="10" t="s">
        <v>394</v>
      </c>
    </row>
    <row r="87" customFormat="false" ht="120" hidden="false" customHeight="true" outlineLevel="0" collapsed="false">
      <c r="A87" s="10" t="s">
        <v>755</v>
      </c>
      <c r="B87" s="10" t="s">
        <v>736</v>
      </c>
      <c r="C87" s="10" t="s">
        <v>756</v>
      </c>
      <c r="D87" s="10" t="s">
        <v>757</v>
      </c>
      <c r="E87" s="10"/>
      <c r="F87" s="10" t="s">
        <v>478</v>
      </c>
      <c r="G87" s="10" t="s">
        <v>444</v>
      </c>
      <c r="H87" s="10" t="s">
        <v>758</v>
      </c>
      <c r="I87" s="10" t="s">
        <v>394</v>
      </c>
    </row>
    <row r="88" customFormat="false" ht="120" hidden="false" customHeight="true" outlineLevel="0" collapsed="false">
      <c r="A88" s="10" t="s">
        <v>759</v>
      </c>
      <c r="B88" s="10" t="s">
        <v>736</v>
      </c>
      <c r="C88" s="10" t="s">
        <v>760</v>
      </c>
      <c r="D88" s="10" t="s">
        <v>761</v>
      </c>
      <c r="E88" s="10"/>
      <c r="F88" s="10" t="s">
        <v>454</v>
      </c>
      <c r="G88" s="10" t="s">
        <v>408</v>
      </c>
      <c r="H88" s="10" t="s">
        <v>762</v>
      </c>
      <c r="I88" s="10" t="s">
        <v>394</v>
      </c>
    </row>
    <row r="89" customFormat="false" ht="120" hidden="false" customHeight="true" outlineLevel="0" collapsed="false">
      <c r="A89" s="10" t="s">
        <v>763</v>
      </c>
      <c r="B89" s="10" t="s">
        <v>736</v>
      </c>
      <c r="C89" s="10" t="s">
        <v>764</v>
      </c>
      <c r="D89" s="10" t="s">
        <v>765</v>
      </c>
      <c r="E89" s="10"/>
      <c r="F89" s="10" t="s">
        <v>454</v>
      </c>
      <c r="G89" s="10" t="s">
        <v>408</v>
      </c>
      <c r="H89" s="10" t="s">
        <v>766</v>
      </c>
      <c r="I89" s="10" t="s">
        <v>394</v>
      </c>
    </row>
    <row r="90" customFormat="false" ht="120" hidden="false" customHeight="true" outlineLevel="0" collapsed="false">
      <c r="A90" s="10" t="s">
        <v>767</v>
      </c>
      <c r="B90" s="10" t="s">
        <v>736</v>
      </c>
      <c r="C90" s="10" t="s">
        <v>768</v>
      </c>
      <c r="D90" s="10" t="s">
        <v>769</v>
      </c>
      <c r="E90" s="10"/>
      <c r="F90" s="10" t="s">
        <v>770</v>
      </c>
      <c r="G90" s="10" t="s">
        <v>444</v>
      </c>
      <c r="H90" s="10" t="s">
        <v>771</v>
      </c>
      <c r="I90" s="10" t="s">
        <v>394</v>
      </c>
    </row>
    <row r="91" customFormat="false" ht="120" hidden="false" customHeight="true" outlineLevel="0" collapsed="false">
      <c r="A91" s="10" t="s">
        <v>772</v>
      </c>
      <c r="B91" s="10" t="s">
        <v>736</v>
      </c>
      <c r="C91" s="10" t="s">
        <v>773</v>
      </c>
      <c r="D91" s="10" t="s">
        <v>774</v>
      </c>
      <c r="E91" s="10"/>
      <c r="F91" s="10" t="s">
        <v>770</v>
      </c>
      <c r="G91" s="10" t="s">
        <v>392</v>
      </c>
      <c r="H91" s="10" t="s">
        <v>775</v>
      </c>
      <c r="I91" s="10" t="s">
        <v>394</v>
      </c>
    </row>
    <row r="92" customFormat="false" ht="120" hidden="false" customHeight="true" outlineLevel="0" collapsed="false">
      <c r="A92" s="10" t="s">
        <v>776</v>
      </c>
      <c r="B92" s="10" t="s">
        <v>736</v>
      </c>
      <c r="C92" s="10" t="s">
        <v>777</v>
      </c>
      <c r="D92" s="10" t="s">
        <v>757</v>
      </c>
      <c r="E92" s="10"/>
      <c r="F92" s="10" t="s">
        <v>513</v>
      </c>
      <c r="G92" s="10" t="s">
        <v>444</v>
      </c>
      <c r="H92" s="10" t="s">
        <v>778</v>
      </c>
      <c r="I92" s="10" t="s">
        <v>394</v>
      </c>
    </row>
    <row r="93" customFormat="false" ht="120" hidden="false" customHeight="true" outlineLevel="0" collapsed="false">
      <c r="A93" s="10" t="s">
        <v>779</v>
      </c>
      <c r="B93" s="10" t="s">
        <v>736</v>
      </c>
      <c r="C93" s="10" t="s">
        <v>780</v>
      </c>
      <c r="D93" s="10" t="s">
        <v>781</v>
      </c>
      <c r="E93" s="10"/>
      <c r="F93" s="10" t="s">
        <v>770</v>
      </c>
      <c r="G93" s="10" t="s">
        <v>403</v>
      </c>
      <c r="H93" s="10" t="s">
        <v>782</v>
      </c>
      <c r="I93" s="10" t="s">
        <v>394</v>
      </c>
    </row>
    <row r="94" customFormat="false" ht="120" hidden="false" customHeight="true" outlineLevel="0" collapsed="false">
      <c r="A94" s="10" t="s">
        <v>783</v>
      </c>
      <c r="B94" s="10" t="s">
        <v>736</v>
      </c>
      <c r="C94" s="10" t="s">
        <v>784</v>
      </c>
      <c r="D94" s="10" t="s">
        <v>757</v>
      </c>
      <c r="E94" s="10"/>
      <c r="F94" s="10" t="s">
        <v>474</v>
      </c>
      <c r="G94" s="10" t="s">
        <v>425</v>
      </c>
      <c r="H94" s="10" t="s">
        <v>785</v>
      </c>
      <c r="I94" s="10" t="s">
        <v>394</v>
      </c>
    </row>
    <row r="95" customFormat="false" ht="120" hidden="false" customHeight="true" outlineLevel="0" collapsed="false">
      <c r="A95" s="10" t="s">
        <v>786</v>
      </c>
      <c r="B95" s="10" t="s">
        <v>736</v>
      </c>
      <c r="C95" s="10" t="s">
        <v>787</v>
      </c>
      <c r="D95" s="10" t="s">
        <v>788</v>
      </c>
      <c r="E95" s="10"/>
      <c r="F95" s="10" t="s">
        <v>532</v>
      </c>
      <c r="G95" s="10" t="s">
        <v>408</v>
      </c>
      <c r="H95" s="10" t="s">
        <v>789</v>
      </c>
      <c r="I95" s="10" t="s">
        <v>394</v>
      </c>
    </row>
    <row r="96" customFormat="false" ht="120" hidden="false" customHeight="true" outlineLevel="0" collapsed="false">
      <c r="A96" s="10" t="s">
        <v>790</v>
      </c>
      <c r="B96" s="10" t="s">
        <v>736</v>
      </c>
      <c r="C96" s="10" t="s">
        <v>791</v>
      </c>
      <c r="D96" s="10" t="s">
        <v>757</v>
      </c>
      <c r="E96" s="10"/>
      <c r="F96" s="10" t="s">
        <v>424</v>
      </c>
      <c r="G96" s="10" t="s">
        <v>425</v>
      </c>
      <c r="H96" s="10" t="s">
        <v>792</v>
      </c>
      <c r="I96" s="10" t="s">
        <v>394</v>
      </c>
    </row>
    <row r="97" customFormat="false" ht="120" hidden="false" customHeight="true" outlineLevel="0" collapsed="false">
      <c r="A97" s="10" t="s">
        <v>793</v>
      </c>
      <c r="B97" s="10" t="s">
        <v>736</v>
      </c>
      <c r="C97" s="10" t="s">
        <v>794</v>
      </c>
      <c r="D97" s="10" t="s">
        <v>757</v>
      </c>
      <c r="E97" s="10"/>
      <c r="F97" s="10" t="s">
        <v>503</v>
      </c>
      <c r="G97" s="10" t="s">
        <v>444</v>
      </c>
      <c r="H97" s="10" t="s">
        <v>795</v>
      </c>
      <c r="I97" s="10" t="s">
        <v>394</v>
      </c>
    </row>
    <row r="98" customFormat="false" ht="120" hidden="false" customHeight="true" outlineLevel="0" collapsed="false">
      <c r="A98" s="10" t="s">
        <v>796</v>
      </c>
      <c r="B98" s="10" t="s">
        <v>736</v>
      </c>
      <c r="C98" s="10" t="s">
        <v>797</v>
      </c>
      <c r="D98" s="10" t="s">
        <v>746</v>
      </c>
      <c r="E98" s="10"/>
      <c r="F98" s="10" t="s">
        <v>503</v>
      </c>
      <c r="G98" s="10" t="s">
        <v>403</v>
      </c>
      <c r="H98" s="10" t="s">
        <v>798</v>
      </c>
      <c r="I98" s="10" t="s">
        <v>394</v>
      </c>
    </row>
    <row r="99" customFormat="false" ht="120" hidden="false" customHeight="true" outlineLevel="0" collapsed="false">
      <c r="A99" s="10" t="s">
        <v>799</v>
      </c>
      <c r="B99" s="10" t="s">
        <v>736</v>
      </c>
      <c r="C99" s="10" t="s">
        <v>800</v>
      </c>
      <c r="D99" s="10" t="s">
        <v>757</v>
      </c>
      <c r="E99" s="10"/>
      <c r="F99" s="10" t="s">
        <v>532</v>
      </c>
      <c r="G99" s="10" t="s">
        <v>403</v>
      </c>
      <c r="H99" s="10" t="s">
        <v>801</v>
      </c>
      <c r="I99" s="10" t="s">
        <v>394</v>
      </c>
    </row>
    <row r="100" customFormat="false" ht="120" hidden="false" customHeight="true" outlineLevel="0" collapsed="false">
      <c r="A100" s="10" t="s">
        <v>802</v>
      </c>
      <c r="B100" s="10" t="s">
        <v>736</v>
      </c>
      <c r="C100" s="10" t="s">
        <v>803</v>
      </c>
      <c r="D100" s="10" t="s">
        <v>804</v>
      </c>
      <c r="E100" s="10"/>
      <c r="F100" s="10" t="s">
        <v>805</v>
      </c>
      <c r="G100" s="10" t="s">
        <v>444</v>
      </c>
      <c r="H100" s="10" t="s">
        <v>806</v>
      </c>
      <c r="I100" s="10" t="s">
        <v>394</v>
      </c>
    </row>
    <row r="101" customFormat="false" ht="120" hidden="false" customHeight="true" outlineLevel="0" collapsed="false">
      <c r="A101" s="10" t="s">
        <v>807</v>
      </c>
      <c r="B101" s="10" t="s">
        <v>736</v>
      </c>
      <c r="C101" s="10" t="s">
        <v>808</v>
      </c>
      <c r="D101" s="10" t="s">
        <v>742</v>
      </c>
      <c r="E101" s="10"/>
      <c r="F101" s="10" t="s">
        <v>809</v>
      </c>
      <c r="G101" s="10" t="s">
        <v>403</v>
      </c>
      <c r="H101" s="10" t="s">
        <v>810</v>
      </c>
      <c r="I101" s="10" t="s">
        <v>394</v>
      </c>
    </row>
    <row r="102" customFormat="false" ht="120" hidden="false" customHeight="true" outlineLevel="0" collapsed="false">
      <c r="A102" s="10" t="s">
        <v>811</v>
      </c>
      <c r="B102" s="10" t="s">
        <v>736</v>
      </c>
      <c r="C102" s="10" t="s">
        <v>812</v>
      </c>
      <c r="D102" s="10" t="s">
        <v>746</v>
      </c>
      <c r="E102" s="10"/>
      <c r="F102" s="10" t="s">
        <v>770</v>
      </c>
      <c r="G102" s="10" t="s">
        <v>403</v>
      </c>
      <c r="H102" s="10" t="s">
        <v>813</v>
      </c>
      <c r="I102" s="10" t="s">
        <v>394</v>
      </c>
    </row>
    <row r="103" customFormat="false" ht="120" hidden="false" customHeight="true" outlineLevel="0" collapsed="false">
      <c r="A103" s="10" t="s">
        <v>814</v>
      </c>
      <c r="B103" s="10" t="s">
        <v>736</v>
      </c>
      <c r="C103" s="10" t="s">
        <v>815</v>
      </c>
      <c r="D103" s="10" t="s">
        <v>757</v>
      </c>
      <c r="E103" s="10"/>
      <c r="F103" s="10" t="s">
        <v>770</v>
      </c>
      <c r="G103" s="10" t="s">
        <v>444</v>
      </c>
      <c r="H103" s="10" t="s">
        <v>816</v>
      </c>
      <c r="I103" s="10" t="s">
        <v>394</v>
      </c>
    </row>
    <row r="104" customFormat="false" ht="120" hidden="false" customHeight="true" outlineLevel="0" collapsed="false">
      <c r="A104" s="10" t="s">
        <v>817</v>
      </c>
      <c r="B104" s="10" t="s">
        <v>736</v>
      </c>
      <c r="C104" s="10" t="s">
        <v>818</v>
      </c>
      <c r="D104" s="10" t="s">
        <v>819</v>
      </c>
      <c r="E104" s="10"/>
      <c r="F104" s="10" t="s">
        <v>820</v>
      </c>
      <c r="G104" s="10" t="s">
        <v>403</v>
      </c>
      <c r="H104" s="10" t="s">
        <v>821</v>
      </c>
      <c r="I104" s="10" t="s">
        <v>394</v>
      </c>
    </row>
    <row r="105" customFormat="false" ht="120" hidden="false" customHeight="true" outlineLevel="0" collapsed="false">
      <c r="A105" s="10" t="s">
        <v>822</v>
      </c>
      <c r="B105" s="10" t="s">
        <v>736</v>
      </c>
      <c r="C105" s="10" t="s">
        <v>823</v>
      </c>
      <c r="D105" s="10" t="s">
        <v>824</v>
      </c>
      <c r="E105" s="10"/>
      <c r="F105" s="10" t="s">
        <v>424</v>
      </c>
      <c r="G105" s="10" t="s">
        <v>392</v>
      </c>
      <c r="H105" s="10" t="s">
        <v>825</v>
      </c>
      <c r="I105" s="10" t="s">
        <v>394</v>
      </c>
    </row>
    <row r="106" customFormat="false" ht="120" hidden="false" customHeight="true" outlineLevel="0" collapsed="false">
      <c r="A106" s="10" t="s">
        <v>826</v>
      </c>
      <c r="B106" s="10" t="s">
        <v>736</v>
      </c>
      <c r="C106" s="10" t="s">
        <v>827</v>
      </c>
      <c r="D106" s="10" t="s">
        <v>765</v>
      </c>
      <c r="E106" s="10"/>
      <c r="F106" s="10" t="s">
        <v>828</v>
      </c>
      <c r="G106" s="10" t="s">
        <v>392</v>
      </c>
      <c r="H106" s="10" t="s">
        <v>829</v>
      </c>
      <c r="I106" s="10" t="s">
        <v>394</v>
      </c>
    </row>
    <row r="107" customFormat="false" ht="120" hidden="false" customHeight="true" outlineLevel="0" collapsed="false">
      <c r="A107" s="10" t="s">
        <v>830</v>
      </c>
      <c r="B107" s="10" t="s">
        <v>736</v>
      </c>
      <c r="C107" s="10" t="s">
        <v>831</v>
      </c>
      <c r="D107" s="10" t="s">
        <v>832</v>
      </c>
      <c r="E107" s="10"/>
      <c r="F107" s="10" t="s">
        <v>483</v>
      </c>
      <c r="G107" s="10" t="s">
        <v>403</v>
      </c>
      <c r="H107" s="10" t="s">
        <v>833</v>
      </c>
      <c r="I107" s="10" t="s">
        <v>394</v>
      </c>
    </row>
    <row r="108" customFormat="false" ht="120" hidden="false" customHeight="true" outlineLevel="0" collapsed="false">
      <c r="A108" s="10" t="s">
        <v>834</v>
      </c>
      <c r="B108" s="10" t="s">
        <v>736</v>
      </c>
      <c r="C108" s="10" t="s">
        <v>835</v>
      </c>
      <c r="D108" s="10" t="s">
        <v>757</v>
      </c>
      <c r="E108" s="10"/>
      <c r="F108" s="10" t="s">
        <v>836</v>
      </c>
      <c r="G108" s="10" t="s">
        <v>408</v>
      </c>
      <c r="H108" s="10" t="s">
        <v>837</v>
      </c>
      <c r="I108" s="10" t="s">
        <v>394</v>
      </c>
    </row>
    <row r="109" customFormat="false" ht="120" hidden="false" customHeight="true" outlineLevel="0" collapsed="false">
      <c r="A109" s="10" t="s">
        <v>838</v>
      </c>
      <c r="B109" s="10" t="s">
        <v>839</v>
      </c>
      <c r="C109" s="10" t="s">
        <v>840</v>
      </c>
      <c r="D109" s="10" t="s">
        <v>757</v>
      </c>
      <c r="E109" s="10"/>
      <c r="F109" s="10" t="s">
        <v>448</v>
      </c>
      <c r="G109" s="10" t="s">
        <v>408</v>
      </c>
      <c r="H109" s="10" t="s">
        <v>841</v>
      </c>
      <c r="I109" s="10" t="s">
        <v>394</v>
      </c>
    </row>
    <row r="110" customFormat="false" ht="120" hidden="false" customHeight="true" outlineLevel="0" collapsed="false">
      <c r="A110" s="10" t="s">
        <v>842</v>
      </c>
      <c r="B110" s="10" t="s">
        <v>839</v>
      </c>
      <c r="C110" s="10" t="s">
        <v>843</v>
      </c>
      <c r="D110" s="10" t="s">
        <v>844</v>
      </c>
      <c r="E110" s="10"/>
      <c r="F110" s="10" t="s">
        <v>513</v>
      </c>
      <c r="G110" s="10" t="s">
        <v>403</v>
      </c>
      <c r="H110" s="10" t="s">
        <v>845</v>
      </c>
      <c r="I110" s="10" t="s">
        <v>394</v>
      </c>
    </row>
    <row r="111" customFormat="false" ht="120" hidden="false" customHeight="true" outlineLevel="0" collapsed="false">
      <c r="A111" s="10" t="s">
        <v>846</v>
      </c>
      <c r="B111" s="10" t="s">
        <v>839</v>
      </c>
      <c r="C111" s="10" t="s">
        <v>847</v>
      </c>
      <c r="D111" s="10" t="s">
        <v>844</v>
      </c>
      <c r="E111" s="10"/>
      <c r="F111" s="10" t="s">
        <v>438</v>
      </c>
      <c r="G111" s="10" t="s">
        <v>403</v>
      </c>
      <c r="H111" s="10" t="s">
        <v>848</v>
      </c>
      <c r="I111" s="10" t="s">
        <v>394</v>
      </c>
    </row>
    <row r="112" customFormat="false" ht="120" hidden="false" customHeight="true" outlineLevel="0" collapsed="false">
      <c r="A112" s="10" t="s">
        <v>849</v>
      </c>
      <c r="B112" s="10" t="s">
        <v>839</v>
      </c>
      <c r="C112" s="10" t="s">
        <v>850</v>
      </c>
      <c r="D112" s="10" t="s">
        <v>746</v>
      </c>
      <c r="E112" s="10"/>
      <c r="F112" s="10" t="s">
        <v>522</v>
      </c>
      <c r="G112" s="10" t="s">
        <v>444</v>
      </c>
      <c r="H112" s="10" t="s">
        <v>851</v>
      </c>
      <c r="I112" s="10" t="s">
        <v>394</v>
      </c>
    </row>
    <row r="113" customFormat="false" ht="120" hidden="false" customHeight="true" outlineLevel="0" collapsed="false">
      <c r="A113" s="10" t="s">
        <v>852</v>
      </c>
      <c r="B113" s="10" t="s">
        <v>839</v>
      </c>
      <c r="C113" s="10" t="s">
        <v>853</v>
      </c>
      <c r="D113" s="10" t="s">
        <v>757</v>
      </c>
      <c r="E113" s="10"/>
      <c r="F113" s="10" t="s">
        <v>454</v>
      </c>
      <c r="G113" s="10" t="s">
        <v>403</v>
      </c>
      <c r="H113" s="10" t="s">
        <v>854</v>
      </c>
      <c r="I113" s="10" t="s">
        <v>394</v>
      </c>
    </row>
    <row r="114" customFormat="false" ht="120" hidden="false" customHeight="true" outlineLevel="0" collapsed="false">
      <c r="A114" s="10" t="s">
        <v>855</v>
      </c>
      <c r="B114" s="10" t="s">
        <v>839</v>
      </c>
      <c r="C114" s="10" t="s">
        <v>856</v>
      </c>
      <c r="D114" s="10" t="s">
        <v>757</v>
      </c>
      <c r="E114" s="10"/>
      <c r="F114" s="10" t="s">
        <v>454</v>
      </c>
      <c r="G114" s="10" t="s">
        <v>403</v>
      </c>
      <c r="H114" s="10" t="s">
        <v>857</v>
      </c>
      <c r="I114" s="10" t="s">
        <v>394</v>
      </c>
    </row>
    <row r="115" customFormat="false" ht="120" hidden="false" customHeight="true" outlineLevel="0" collapsed="false">
      <c r="A115" s="10" t="s">
        <v>858</v>
      </c>
      <c r="B115" s="10" t="s">
        <v>839</v>
      </c>
      <c r="C115" s="10" t="s">
        <v>859</v>
      </c>
      <c r="D115" s="10" t="s">
        <v>757</v>
      </c>
      <c r="E115" s="10"/>
      <c r="F115" s="10" t="s">
        <v>424</v>
      </c>
      <c r="G115" s="10" t="s">
        <v>425</v>
      </c>
      <c r="H115" s="10" t="s">
        <v>860</v>
      </c>
      <c r="I115" s="10" t="s">
        <v>394</v>
      </c>
    </row>
    <row r="116" customFormat="false" ht="120" hidden="false" customHeight="true" outlineLevel="0" collapsed="false">
      <c r="A116" s="10" t="s">
        <v>861</v>
      </c>
      <c r="B116" s="10" t="s">
        <v>839</v>
      </c>
      <c r="C116" s="10" t="s">
        <v>862</v>
      </c>
      <c r="D116" s="10" t="s">
        <v>757</v>
      </c>
      <c r="E116" s="10"/>
      <c r="F116" s="10" t="s">
        <v>532</v>
      </c>
      <c r="G116" s="10" t="s">
        <v>403</v>
      </c>
      <c r="H116" s="10" t="s">
        <v>863</v>
      </c>
      <c r="I116" s="10" t="s">
        <v>394</v>
      </c>
    </row>
    <row r="117" customFormat="false" ht="120" hidden="false" customHeight="true" outlineLevel="0" collapsed="false">
      <c r="A117" s="10" t="s">
        <v>864</v>
      </c>
      <c r="B117" s="10" t="s">
        <v>839</v>
      </c>
      <c r="C117" s="10" t="s">
        <v>865</v>
      </c>
      <c r="D117" s="10" t="s">
        <v>757</v>
      </c>
      <c r="E117" s="10"/>
      <c r="F117" s="10" t="s">
        <v>478</v>
      </c>
      <c r="G117" s="10" t="s">
        <v>444</v>
      </c>
      <c r="H117" s="10" t="s">
        <v>866</v>
      </c>
      <c r="I117" s="10" t="s">
        <v>394</v>
      </c>
    </row>
    <row r="118" customFormat="false" ht="120" hidden="false" customHeight="true" outlineLevel="0" collapsed="false">
      <c r="A118" s="10" t="s">
        <v>867</v>
      </c>
      <c r="B118" s="10" t="s">
        <v>839</v>
      </c>
      <c r="C118" s="10" t="s">
        <v>868</v>
      </c>
      <c r="D118" s="10" t="s">
        <v>757</v>
      </c>
      <c r="E118" s="10"/>
      <c r="F118" s="10" t="s">
        <v>513</v>
      </c>
      <c r="G118" s="10" t="s">
        <v>444</v>
      </c>
      <c r="H118" s="10" t="s">
        <v>869</v>
      </c>
      <c r="I118" s="10" t="s">
        <v>394</v>
      </c>
    </row>
    <row r="119" customFormat="false" ht="120" hidden="false" customHeight="true" outlineLevel="0" collapsed="false">
      <c r="A119" s="10" t="s">
        <v>870</v>
      </c>
      <c r="B119" s="10" t="s">
        <v>839</v>
      </c>
      <c r="C119" s="10" t="s">
        <v>871</v>
      </c>
      <c r="D119" s="10" t="s">
        <v>746</v>
      </c>
      <c r="E119" s="10"/>
      <c r="F119" s="10" t="s">
        <v>648</v>
      </c>
      <c r="G119" s="10" t="s">
        <v>444</v>
      </c>
      <c r="H119" s="10" t="s">
        <v>872</v>
      </c>
      <c r="I119" s="10" t="s">
        <v>394</v>
      </c>
    </row>
    <row r="120" customFormat="false" ht="120" hidden="false" customHeight="true" outlineLevel="0" collapsed="false">
      <c r="A120" s="10" t="s">
        <v>873</v>
      </c>
      <c r="B120" s="10" t="s">
        <v>839</v>
      </c>
      <c r="C120" s="10" t="s">
        <v>874</v>
      </c>
      <c r="D120" s="10" t="s">
        <v>757</v>
      </c>
      <c r="E120" s="10"/>
      <c r="F120" s="10" t="s">
        <v>503</v>
      </c>
      <c r="G120" s="10" t="s">
        <v>408</v>
      </c>
      <c r="H120" s="10" t="s">
        <v>875</v>
      </c>
      <c r="I120" s="10" t="s">
        <v>394</v>
      </c>
    </row>
    <row r="121" customFormat="false" ht="120" hidden="false" customHeight="true" outlineLevel="0" collapsed="false">
      <c r="A121" s="10" t="s">
        <v>876</v>
      </c>
      <c r="B121" s="10" t="s">
        <v>839</v>
      </c>
      <c r="C121" s="10" t="s">
        <v>877</v>
      </c>
      <c r="D121" s="10" t="s">
        <v>844</v>
      </c>
      <c r="E121" s="10"/>
      <c r="F121" s="10" t="s">
        <v>503</v>
      </c>
      <c r="G121" s="10" t="s">
        <v>403</v>
      </c>
      <c r="H121" s="10" t="s">
        <v>878</v>
      </c>
      <c r="I121" s="10" t="s">
        <v>394</v>
      </c>
    </row>
    <row r="122" customFormat="false" ht="120" hidden="false" customHeight="true" outlineLevel="0" collapsed="false">
      <c r="A122" s="10" t="s">
        <v>879</v>
      </c>
      <c r="B122" s="10" t="s">
        <v>839</v>
      </c>
      <c r="C122" s="10" t="s">
        <v>880</v>
      </c>
      <c r="D122" s="10" t="s">
        <v>746</v>
      </c>
      <c r="E122" s="10"/>
      <c r="F122" s="10" t="s">
        <v>532</v>
      </c>
      <c r="G122" s="10" t="s">
        <v>403</v>
      </c>
      <c r="H122" s="10" t="s">
        <v>881</v>
      </c>
      <c r="I122" s="10" t="s">
        <v>394</v>
      </c>
    </row>
    <row r="123" customFormat="false" ht="120" hidden="false" customHeight="true" outlineLevel="0" collapsed="false">
      <c r="A123" s="10" t="s">
        <v>882</v>
      </c>
      <c r="B123" s="10" t="s">
        <v>839</v>
      </c>
      <c r="C123" s="10" t="s">
        <v>883</v>
      </c>
      <c r="D123" s="10" t="s">
        <v>757</v>
      </c>
      <c r="E123" s="10"/>
      <c r="F123" s="10" t="s">
        <v>424</v>
      </c>
      <c r="G123" s="10" t="s">
        <v>425</v>
      </c>
      <c r="H123" s="10" t="s">
        <v>884</v>
      </c>
      <c r="I123" s="10" t="s">
        <v>394</v>
      </c>
    </row>
    <row r="124" customFormat="false" ht="120" hidden="false" customHeight="true" outlineLevel="0" collapsed="false">
      <c r="A124" s="10" t="s">
        <v>885</v>
      </c>
      <c r="B124" s="10" t="s">
        <v>839</v>
      </c>
      <c r="C124" s="10" t="s">
        <v>886</v>
      </c>
      <c r="D124" s="10" t="s">
        <v>757</v>
      </c>
      <c r="E124" s="10"/>
      <c r="F124" s="10" t="s">
        <v>887</v>
      </c>
      <c r="G124" s="10" t="s">
        <v>392</v>
      </c>
      <c r="H124" s="10" t="s">
        <v>888</v>
      </c>
      <c r="I124" s="10" t="s">
        <v>394</v>
      </c>
    </row>
    <row r="125" customFormat="false" ht="120" hidden="false" customHeight="true" outlineLevel="0" collapsed="false">
      <c r="A125" s="10" t="s">
        <v>889</v>
      </c>
      <c r="B125" s="10" t="s">
        <v>839</v>
      </c>
      <c r="C125" s="10" t="s">
        <v>890</v>
      </c>
      <c r="D125" s="10" t="s">
        <v>757</v>
      </c>
      <c r="E125" s="10"/>
      <c r="F125" s="10" t="s">
        <v>891</v>
      </c>
      <c r="G125" s="10" t="s">
        <v>392</v>
      </c>
      <c r="H125" s="10" t="s">
        <v>892</v>
      </c>
      <c r="I125" s="10" t="s">
        <v>394</v>
      </c>
    </row>
    <row r="126" customFormat="false" ht="120" hidden="false" customHeight="true" outlineLevel="0" collapsed="false">
      <c r="A126" s="10" t="s">
        <v>893</v>
      </c>
      <c r="B126" s="10" t="s">
        <v>839</v>
      </c>
      <c r="C126" s="10" t="s">
        <v>894</v>
      </c>
      <c r="D126" s="10" t="s">
        <v>895</v>
      </c>
      <c r="E126" s="10"/>
      <c r="F126" s="10" t="s">
        <v>896</v>
      </c>
      <c r="G126" s="10" t="s">
        <v>444</v>
      </c>
      <c r="H126" s="10" t="s">
        <v>897</v>
      </c>
      <c r="I126" s="10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28"/>
    <col collapsed="false" customWidth="true" hidden="false" outlineLevel="0" max="4" min="4" style="0" width="100"/>
    <col collapsed="false" customWidth="true" hidden="false" outlineLevel="0" max="5" min="5" style="0" width="54"/>
    <col collapsed="false" customWidth="true" hidden="false" outlineLevel="0" max="6" min="6" style="0" width="65"/>
  </cols>
  <sheetData>
    <row r="1" customFormat="false" ht="42" hidden="false" customHeight="true" outlineLevel="0" collapsed="false">
      <c r="A1" s="9" t="s">
        <v>378</v>
      </c>
      <c r="B1" s="9" t="s">
        <v>898</v>
      </c>
      <c r="C1" s="9" t="s">
        <v>899</v>
      </c>
      <c r="D1" s="9" t="s">
        <v>900</v>
      </c>
      <c r="E1" s="9" t="s">
        <v>901</v>
      </c>
      <c r="F1" s="9" t="s">
        <v>902</v>
      </c>
    </row>
    <row r="2" customFormat="false" ht="117.75" hidden="false" customHeight="true" outlineLevel="0" collapsed="false">
      <c r="A2" s="10" t="s">
        <v>903</v>
      </c>
      <c r="B2" s="10" t="s">
        <v>904</v>
      </c>
      <c r="C2" s="10" t="s">
        <v>905</v>
      </c>
      <c r="D2" s="10" t="s">
        <v>906</v>
      </c>
      <c r="E2" s="10" t="s">
        <v>907</v>
      </c>
      <c r="F2" s="10" t="s">
        <v>908</v>
      </c>
    </row>
    <row r="3" customFormat="false" ht="117.75" hidden="false" customHeight="true" outlineLevel="0" collapsed="false">
      <c r="A3" s="10" t="s">
        <v>909</v>
      </c>
      <c r="B3" s="10" t="s">
        <v>910</v>
      </c>
      <c r="C3" s="10" t="s">
        <v>911</v>
      </c>
      <c r="D3" s="10" t="s">
        <v>912</v>
      </c>
      <c r="E3" s="10" t="s">
        <v>913</v>
      </c>
      <c r="F3" s="10" t="s">
        <v>914</v>
      </c>
    </row>
    <row r="4" customFormat="false" ht="117.75" hidden="false" customHeight="true" outlineLevel="0" collapsed="false">
      <c r="A4" s="10" t="s">
        <v>915</v>
      </c>
      <c r="B4" s="10" t="s">
        <v>916</v>
      </c>
      <c r="C4" s="10" t="s">
        <v>917</v>
      </c>
      <c r="D4" s="10" t="s">
        <v>918</v>
      </c>
      <c r="E4" s="10" t="s">
        <v>919</v>
      </c>
      <c r="F4" s="10" t="s">
        <v>920</v>
      </c>
    </row>
    <row r="5" customFormat="false" ht="117.75" hidden="false" customHeight="true" outlineLevel="0" collapsed="false">
      <c r="A5" s="10" t="s">
        <v>921</v>
      </c>
      <c r="B5" s="10" t="s">
        <v>922</v>
      </c>
      <c r="C5" s="10" t="s">
        <v>923</v>
      </c>
      <c r="D5" s="10" t="s">
        <v>924</v>
      </c>
      <c r="E5" s="10" t="s">
        <v>925</v>
      </c>
      <c r="F5" s="10" t="s">
        <v>926</v>
      </c>
    </row>
    <row r="6" customFormat="false" ht="117.75" hidden="false" customHeight="true" outlineLevel="0" collapsed="false">
      <c r="A6" s="10" t="s">
        <v>927</v>
      </c>
      <c r="B6" s="10" t="s">
        <v>928</v>
      </c>
      <c r="C6" s="10" t="s">
        <v>929</v>
      </c>
      <c r="D6" s="10" t="s">
        <v>930</v>
      </c>
      <c r="E6" s="10" t="s">
        <v>931</v>
      </c>
      <c r="F6" s="10" t="s">
        <v>932</v>
      </c>
    </row>
    <row r="7" customFormat="false" ht="117.75" hidden="false" customHeight="true" outlineLevel="0" collapsed="false">
      <c r="A7" s="10" t="s">
        <v>933</v>
      </c>
      <c r="B7" s="10" t="s">
        <v>934</v>
      </c>
      <c r="C7" s="10" t="s">
        <v>935</v>
      </c>
      <c r="D7" s="10" t="s">
        <v>936</v>
      </c>
      <c r="E7" s="10" t="s">
        <v>937</v>
      </c>
      <c r="F7" s="10" t="s">
        <v>938</v>
      </c>
    </row>
    <row r="8" customFormat="false" ht="117.75" hidden="false" customHeight="true" outlineLevel="0" collapsed="false">
      <c r="A8" s="10" t="s">
        <v>939</v>
      </c>
      <c r="B8" s="10" t="s">
        <v>940</v>
      </c>
      <c r="C8" s="10" t="s">
        <v>941</v>
      </c>
      <c r="D8" s="10" t="s">
        <v>942</v>
      </c>
      <c r="E8" s="10" t="s">
        <v>943</v>
      </c>
      <c r="F8" s="10" t="s">
        <v>944</v>
      </c>
    </row>
    <row r="9" customFormat="false" ht="117.75" hidden="false" customHeight="true" outlineLevel="0" collapsed="false">
      <c r="A9" s="10" t="s">
        <v>945</v>
      </c>
      <c r="B9" s="10" t="s">
        <v>946</v>
      </c>
      <c r="C9" s="10" t="s">
        <v>947</v>
      </c>
      <c r="D9" s="10" t="s">
        <v>948</v>
      </c>
      <c r="E9" s="10" t="s">
        <v>949</v>
      </c>
      <c r="F9" s="10" t="s">
        <v>950</v>
      </c>
    </row>
    <row r="10" customFormat="false" ht="117.75" hidden="false" customHeight="true" outlineLevel="0" collapsed="false">
      <c r="A10" s="10" t="s">
        <v>951</v>
      </c>
      <c r="B10" s="10" t="s">
        <v>952</v>
      </c>
      <c r="C10" s="10" t="s">
        <v>953</v>
      </c>
      <c r="D10" s="10" t="s">
        <v>954</v>
      </c>
      <c r="E10" s="10" t="s">
        <v>955</v>
      </c>
      <c r="F10" s="10" t="s">
        <v>956</v>
      </c>
    </row>
    <row r="11" customFormat="false" ht="117.75" hidden="false" customHeight="true" outlineLevel="0" collapsed="false">
      <c r="A11" s="10" t="s">
        <v>957</v>
      </c>
      <c r="B11" s="10" t="s">
        <v>958</v>
      </c>
      <c r="C11" s="10" t="s">
        <v>917</v>
      </c>
      <c r="D11" s="10" t="s">
        <v>959</v>
      </c>
      <c r="E11" s="10" t="s">
        <v>960</v>
      </c>
      <c r="F11" s="10" t="s">
        <v>961</v>
      </c>
    </row>
    <row r="12" customFormat="false" ht="117.75" hidden="false" customHeight="true" outlineLevel="0" collapsed="false">
      <c r="A12" s="10" t="s">
        <v>962</v>
      </c>
      <c r="B12" s="10" t="s">
        <v>963</v>
      </c>
      <c r="C12" s="10" t="s">
        <v>964</v>
      </c>
      <c r="D12" s="10" t="s">
        <v>965</v>
      </c>
      <c r="E12" s="10" t="s">
        <v>966</v>
      </c>
      <c r="F12" s="10" t="s">
        <v>967</v>
      </c>
    </row>
    <row r="13" customFormat="false" ht="117.75" hidden="false" customHeight="true" outlineLevel="0" collapsed="false">
      <c r="A13" s="10" t="s">
        <v>968</v>
      </c>
      <c r="B13" s="10" t="s">
        <v>969</v>
      </c>
      <c r="C13" s="10" t="s">
        <v>970</v>
      </c>
      <c r="D13" s="10" t="s">
        <v>971</v>
      </c>
      <c r="E13" s="10" t="s">
        <v>972</v>
      </c>
      <c r="F13" s="10" t="s">
        <v>973</v>
      </c>
    </row>
    <row r="14" customFormat="false" ht="117.75" hidden="false" customHeight="true" outlineLevel="0" collapsed="false">
      <c r="A14" s="10" t="s">
        <v>974</v>
      </c>
      <c r="B14" s="10" t="s">
        <v>975</v>
      </c>
      <c r="C14" s="10" t="s">
        <v>976</v>
      </c>
      <c r="D14" s="10" t="s">
        <v>977</v>
      </c>
      <c r="E14" s="10" t="s">
        <v>978</v>
      </c>
      <c r="F14" s="10" t="s">
        <v>979</v>
      </c>
    </row>
    <row r="15" customFormat="false" ht="117.75" hidden="false" customHeight="true" outlineLevel="0" collapsed="false">
      <c r="A15" s="10" t="s">
        <v>980</v>
      </c>
      <c r="B15" s="10" t="s">
        <v>981</v>
      </c>
      <c r="C15" s="10" t="s">
        <v>964</v>
      </c>
      <c r="D15" s="10" t="s">
        <v>982</v>
      </c>
      <c r="E15" s="10" t="s">
        <v>983</v>
      </c>
      <c r="F15" s="10" t="s">
        <v>984</v>
      </c>
    </row>
    <row r="16" customFormat="false" ht="117.75" hidden="false" customHeight="true" outlineLevel="0" collapsed="false">
      <c r="A16" s="10" t="s">
        <v>985</v>
      </c>
      <c r="B16" s="10" t="s">
        <v>986</v>
      </c>
      <c r="C16" s="10" t="s">
        <v>917</v>
      </c>
      <c r="D16" s="10" t="s">
        <v>987</v>
      </c>
      <c r="E16" s="10" t="s">
        <v>988</v>
      </c>
      <c r="F16" s="10" t="s">
        <v>989</v>
      </c>
    </row>
    <row r="17" customFormat="false" ht="117.75" hidden="false" customHeight="true" outlineLevel="0" collapsed="false">
      <c r="A17" s="10" t="s">
        <v>990</v>
      </c>
      <c r="B17" s="10" t="s">
        <v>991</v>
      </c>
      <c r="C17" s="10" t="s">
        <v>992</v>
      </c>
      <c r="D17" s="10" t="s">
        <v>993</v>
      </c>
      <c r="E17" s="10" t="s">
        <v>994</v>
      </c>
      <c r="F17" s="10" t="s">
        <v>995</v>
      </c>
    </row>
    <row r="18" customFormat="false" ht="117.75" hidden="false" customHeight="true" outlineLevel="0" collapsed="false">
      <c r="A18" s="10" t="s">
        <v>996</v>
      </c>
      <c r="B18" s="10" t="s">
        <v>997</v>
      </c>
      <c r="C18" s="10" t="s">
        <v>998</v>
      </c>
      <c r="D18" s="10" t="s">
        <v>999</v>
      </c>
      <c r="E18" s="10" t="s">
        <v>1000</v>
      </c>
      <c r="F18" s="10" t="s">
        <v>1001</v>
      </c>
    </row>
    <row r="19" customFormat="false" ht="117.75" hidden="false" customHeight="true" outlineLevel="0" collapsed="false">
      <c r="A19" s="10" t="s">
        <v>1002</v>
      </c>
      <c r="B19" s="10" t="s">
        <v>1003</v>
      </c>
      <c r="C19" s="10" t="s">
        <v>1004</v>
      </c>
      <c r="D19" s="10" t="s">
        <v>1005</v>
      </c>
      <c r="E19" s="10" t="s">
        <v>1006</v>
      </c>
      <c r="F19" s="10" t="s">
        <v>1007</v>
      </c>
    </row>
    <row r="20" customFormat="false" ht="117.75" hidden="false" customHeight="true" outlineLevel="0" collapsed="false">
      <c r="A20" s="10" t="s">
        <v>1008</v>
      </c>
      <c r="B20" s="10" t="s">
        <v>1009</v>
      </c>
      <c r="C20" s="10" t="s">
        <v>1010</v>
      </c>
      <c r="D20" s="10" t="s">
        <v>1011</v>
      </c>
      <c r="E20" s="10" t="s">
        <v>1012</v>
      </c>
      <c r="F20" s="10" t="s">
        <v>1013</v>
      </c>
    </row>
    <row r="21" customFormat="false" ht="117.75" hidden="false" customHeight="true" outlineLevel="0" collapsed="false">
      <c r="A21" s="10" t="s">
        <v>1014</v>
      </c>
      <c r="B21" s="10" t="s">
        <v>1015</v>
      </c>
      <c r="C21" s="10" t="s">
        <v>1016</v>
      </c>
      <c r="D21" s="10" t="s">
        <v>1017</v>
      </c>
      <c r="E21" s="10" t="s">
        <v>1018</v>
      </c>
      <c r="F21" s="10" t="s">
        <v>1019</v>
      </c>
    </row>
    <row r="22" customFormat="false" ht="117.75" hidden="false" customHeight="true" outlineLevel="0" collapsed="false">
      <c r="A22" s="10" t="s">
        <v>1020</v>
      </c>
      <c r="B22" s="10" t="s">
        <v>1021</v>
      </c>
      <c r="C22" s="10" t="s">
        <v>953</v>
      </c>
      <c r="D22" s="10" t="s">
        <v>1022</v>
      </c>
      <c r="E22" s="10" t="s">
        <v>1023</v>
      </c>
      <c r="F22" s="10" t="s">
        <v>1024</v>
      </c>
    </row>
    <row r="23" customFormat="false" ht="117.75" hidden="false" customHeight="true" outlineLevel="0" collapsed="false">
      <c r="A23" s="10" t="s">
        <v>1025</v>
      </c>
      <c r="B23" s="10" t="s">
        <v>1026</v>
      </c>
      <c r="C23" s="10" t="s">
        <v>1027</v>
      </c>
      <c r="D23" s="10" t="s">
        <v>1028</v>
      </c>
      <c r="E23" s="10" t="s">
        <v>1029</v>
      </c>
      <c r="F23" s="10" t="s">
        <v>1030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15"/>
    <col collapsed="false" customWidth="true" hidden="false" outlineLevel="0" max="3" min="3" style="0" width="30"/>
    <col collapsed="false" customWidth="true" hidden="false" outlineLevel="0" max="4" min="4" style="0" width="100"/>
    <col collapsed="false" customWidth="true" hidden="false" outlineLevel="0" max="5" min="5" style="0" width="52"/>
  </cols>
  <sheetData>
    <row r="1" customFormat="false" ht="42" hidden="false" customHeight="true" outlineLevel="0" collapsed="false">
      <c r="A1" s="9" t="s">
        <v>378</v>
      </c>
      <c r="B1" s="9" t="s">
        <v>1031</v>
      </c>
      <c r="C1" s="9" t="s">
        <v>1032</v>
      </c>
      <c r="D1" s="9" t="s">
        <v>1033</v>
      </c>
      <c r="E1" s="9" t="s">
        <v>130</v>
      </c>
    </row>
    <row r="2" customFormat="false" ht="75" hidden="false" customHeight="true" outlineLevel="0" collapsed="false">
      <c r="A2" s="10" t="s">
        <v>1034</v>
      </c>
      <c r="B2" s="10" t="s">
        <v>1035</v>
      </c>
      <c r="C2" s="10" t="s">
        <v>1036</v>
      </c>
      <c r="D2" s="10" t="s">
        <v>1037</v>
      </c>
      <c r="E2" s="10" t="s">
        <v>1038</v>
      </c>
    </row>
    <row r="3" customFormat="false" ht="75" hidden="false" customHeight="true" outlineLevel="0" collapsed="false">
      <c r="A3" s="10" t="s">
        <v>1039</v>
      </c>
      <c r="B3" s="10" t="s">
        <v>1040</v>
      </c>
      <c r="C3" s="10" t="s">
        <v>1036</v>
      </c>
      <c r="D3" s="10" t="s">
        <v>1041</v>
      </c>
      <c r="E3" s="10" t="s">
        <v>1038</v>
      </c>
    </row>
    <row r="4" customFormat="false" ht="75" hidden="false" customHeight="true" outlineLevel="0" collapsed="false">
      <c r="A4" s="10" t="s">
        <v>1042</v>
      </c>
      <c r="B4" s="10" t="s">
        <v>1043</v>
      </c>
      <c r="C4" s="10" t="s">
        <v>1036</v>
      </c>
      <c r="D4" s="10" t="s">
        <v>1044</v>
      </c>
      <c r="E4" s="10" t="s">
        <v>1038</v>
      </c>
    </row>
    <row r="5" customFormat="false" ht="75" hidden="false" customHeight="true" outlineLevel="0" collapsed="false">
      <c r="A5" s="10" t="s">
        <v>1045</v>
      </c>
      <c r="B5" s="10" t="s">
        <v>1046</v>
      </c>
      <c r="C5" s="10" t="s">
        <v>1036</v>
      </c>
      <c r="D5" s="10" t="s">
        <v>1047</v>
      </c>
      <c r="E5" s="10" t="s">
        <v>1038</v>
      </c>
    </row>
    <row r="6" customFormat="false" ht="75" hidden="false" customHeight="true" outlineLevel="0" collapsed="false">
      <c r="A6" s="10" t="s">
        <v>1048</v>
      </c>
      <c r="B6" s="10" t="s">
        <v>1049</v>
      </c>
      <c r="C6" s="10" t="s">
        <v>1036</v>
      </c>
      <c r="D6" s="10" t="s">
        <v>1050</v>
      </c>
      <c r="E6" s="10" t="s">
        <v>1038</v>
      </c>
    </row>
    <row r="7" customFormat="false" ht="75" hidden="false" customHeight="true" outlineLevel="0" collapsed="false">
      <c r="A7" s="10" t="s">
        <v>1051</v>
      </c>
      <c r="B7" s="10" t="s">
        <v>1052</v>
      </c>
      <c r="C7" s="10" t="s">
        <v>1036</v>
      </c>
      <c r="D7" s="10" t="s">
        <v>1053</v>
      </c>
      <c r="E7" s="10" t="s">
        <v>1038</v>
      </c>
    </row>
    <row r="8" customFormat="false" ht="75" hidden="false" customHeight="true" outlineLevel="0" collapsed="false">
      <c r="A8" s="10" t="s">
        <v>1054</v>
      </c>
      <c r="B8" s="10" t="s">
        <v>1055</v>
      </c>
      <c r="C8" s="10" t="s">
        <v>1036</v>
      </c>
      <c r="D8" s="10" t="s">
        <v>1056</v>
      </c>
      <c r="E8" s="10" t="s">
        <v>1038</v>
      </c>
    </row>
    <row r="9" customFormat="false" ht="75" hidden="false" customHeight="true" outlineLevel="0" collapsed="false">
      <c r="A9" s="10" t="s">
        <v>1057</v>
      </c>
      <c r="B9" s="10" t="s">
        <v>1058</v>
      </c>
      <c r="C9" s="10" t="s">
        <v>1036</v>
      </c>
      <c r="D9" s="10" t="s">
        <v>1059</v>
      </c>
      <c r="E9" s="10" t="s">
        <v>1038</v>
      </c>
    </row>
    <row r="10" customFormat="false" ht="75" hidden="false" customHeight="true" outlineLevel="0" collapsed="false">
      <c r="A10" s="10" t="s">
        <v>1060</v>
      </c>
      <c r="B10" s="10" t="s">
        <v>1061</v>
      </c>
      <c r="C10" s="10" t="s">
        <v>1036</v>
      </c>
      <c r="D10" s="10" t="s">
        <v>1062</v>
      </c>
      <c r="E10" s="10" t="s">
        <v>1038</v>
      </c>
    </row>
    <row r="11" customFormat="false" ht="75" hidden="false" customHeight="true" outlineLevel="0" collapsed="false">
      <c r="A11" s="10" t="s">
        <v>1063</v>
      </c>
      <c r="B11" s="10" t="s">
        <v>1064</v>
      </c>
      <c r="C11" s="10" t="s">
        <v>1036</v>
      </c>
      <c r="D11" s="10" t="s">
        <v>1065</v>
      </c>
      <c r="E11" s="10" t="s">
        <v>1038</v>
      </c>
    </row>
    <row r="12" customFormat="false" ht="75" hidden="false" customHeight="true" outlineLevel="0" collapsed="false">
      <c r="A12" s="10" t="s">
        <v>1066</v>
      </c>
      <c r="B12" s="10" t="s">
        <v>1067</v>
      </c>
      <c r="C12" s="10" t="s">
        <v>1036</v>
      </c>
      <c r="D12" s="10" t="s">
        <v>1068</v>
      </c>
      <c r="E12" s="10" t="s">
        <v>1038</v>
      </c>
    </row>
    <row r="13" customFormat="false" ht="75" hidden="false" customHeight="true" outlineLevel="0" collapsed="false">
      <c r="A13" s="10" t="s">
        <v>1069</v>
      </c>
      <c r="B13" s="10" t="s">
        <v>1070</v>
      </c>
      <c r="C13" s="10" t="s">
        <v>1036</v>
      </c>
      <c r="D13" s="10" t="s">
        <v>1071</v>
      </c>
      <c r="E13" s="10" t="s">
        <v>1038</v>
      </c>
    </row>
    <row r="14" customFormat="false" ht="75" hidden="false" customHeight="true" outlineLevel="0" collapsed="false">
      <c r="A14" s="10" t="s">
        <v>1072</v>
      </c>
      <c r="B14" s="10" t="s">
        <v>1073</v>
      </c>
      <c r="C14" s="10" t="s">
        <v>1036</v>
      </c>
      <c r="D14" s="10" t="s">
        <v>1074</v>
      </c>
      <c r="E14" s="10" t="s">
        <v>1038</v>
      </c>
    </row>
    <row r="15" customFormat="false" ht="75" hidden="false" customHeight="true" outlineLevel="0" collapsed="false">
      <c r="A15" s="10" t="s">
        <v>1075</v>
      </c>
      <c r="B15" s="10" t="s">
        <v>1076</v>
      </c>
      <c r="C15" s="10" t="s">
        <v>1036</v>
      </c>
      <c r="D15" s="10" t="s">
        <v>1077</v>
      </c>
      <c r="E15" s="10" t="s">
        <v>1038</v>
      </c>
    </row>
    <row r="16" customFormat="false" ht="75" hidden="false" customHeight="true" outlineLevel="0" collapsed="false">
      <c r="A16" s="10" t="s">
        <v>1078</v>
      </c>
      <c r="B16" s="10" t="s">
        <v>1079</v>
      </c>
      <c r="C16" s="10" t="s">
        <v>1036</v>
      </c>
      <c r="D16" s="10" t="s">
        <v>1080</v>
      </c>
      <c r="E16" s="10" t="s">
        <v>1038</v>
      </c>
    </row>
    <row r="17" customFormat="false" ht="75" hidden="false" customHeight="true" outlineLevel="0" collapsed="false">
      <c r="A17" s="10" t="s">
        <v>1081</v>
      </c>
      <c r="B17" s="10" t="s">
        <v>1082</v>
      </c>
      <c r="C17" s="10" t="s">
        <v>1036</v>
      </c>
      <c r="D17" s="10" t="s">
        <v>1083</v>
      </c>
      <c r="E17" s="10" t="s">
        <v>1038</v>
      </c>
    </row>
    <row r="18" customFormat="false" ht="75" hidden="false" customHeight="true" outlineLevel="0" collapsed="false">
      <c r="A18" s="10" t="s">
        <v>1084</v>
      </c>
      <c r="B18" s="10" t="s">
        <v>1085</v>
      </c>
      <c r="C18" s="10" t="s">
        <v>1036</v>
      </c>
      <c r="D18" s="10" t="s">
        <v>1086</v>
      </c>
      <c r="E18" s="10" t="s">
        <v>1038</v>
      </c>
    </row>
    <row r="19" customFormat="false" ht="75" hidden="false" customHeight="true" outlineLevel="0" collapsed="false">
      <c r="A19" s="10" t="s">
        <v>1087</v>
      </c>
      <c r="B19" s="10" t="s">
        <v>1088</v>
      </c>
      <c r="C19" s="10" t="s">
        <v>1036</v>
      </c>
      <c r="D19" s="10" t="s">
        <v>1089</v>
      </c>
      <c r="E19" s="10" t="s">
        <v>1038</v>
      </c>
    </row>
    <row r="20" customFormat="false" ht="75" hidden="false" customHeight="true" outlineLevel="0" collapsed="false">
      <c r="A20" s="10" t="s">
        <v>1090</v>
      </c>
      <c r="B20" s="10" t="s">
        <v>1091</v>
      </c>
      <c r="C20" s="10" t="s">
        <v>1036</v>
      </c>
      <c r="D20" s="10" t="s">
        <v>1092</v>
      </c>
      <c r="E20" s="10" t="s">
        <v>1038</v>
      </c>
    </row>
    <row r="21" customFormat="false" ht="75" hidden="false" customHeight="true" outlineLevel="0" collapsed="false">
      <c r="A21" s="10" t="s">
        <v>1093</v>
      </c>
      <c r="B21" s="10" t="s">
        <v>1094</v>
      </c>
      <c r="C21" s="10" t="s">
        <v>1036</v>
      </c>
      <c r="D21" s="10" t="s">
        <v>1095</v>
      </c>
      <c r="E21" s="10" t="s">
        <v>1038</v>
      </c>
    </row>
    <row r="22" customFormat="false" ht="75" hidden="false" customHeight="true" outlineLevel="0" collapsed="false">
      <c r="A22" s="10" t="s">
        <v>1096</v>
      </c>
      <c r="B22" s="10" t="s">
        <v>1097</v>
      </c>
      <c r="C22" s="10" t="s">
        <v>1036</v>
      </c>
      <c r="D22" s="10" t="s">
        <v>1098</v>
      </c>
      <c r="E22" s="10" t="s">
        <v>1038</v>
      </c>
    </row>
    <row r="23" customFormat="false" ht="75" hidden="false" customHeight="true" outlineLevel="0" collapsed="false">
      <c r="A23" s="10" t="s">
        <v>1099</v>
      </c>
      <c r="B23" s="10" t="s">
        <v>1100</v>
      </c>
      <c r="C23" s="10" t="s">
        <v>1036</v>
      </c>
      <c r="D23" s="10" t="s">
        <v>1101</v>
      </c>
      <c r="E23" s="10" t="s">
        <v>1038</v>
      </c>
    </row>
    <row r="24" customFormat="false" ht="75" hidden="false" customHeight="true" outlineLevel="0" collapsed="false">
      <c r="A24" s="10" t="s">
        <v>1102</v>
      </c>
      <c r="B24" s="10" t="s">
        <v>1103</v>
      </c>
      <c r="C24" s="10" t="s">
        <v>1036</v>
      </c>
      <c r="D24" s="10" t="s">
        <v>1104</v>
      </c>
      <c r="E24" s="10" t="s">
        <v>1038</v>
      </c>
    </row>
    <row r="25" customFormat="false" ht="75" hidden="false" customHeight="true" outlineLevel="0" collapsed="false">
      <c r="A25" s="10" t="s">
        <v>1105</v>
      </c>
      <c r="B25" s="10" t="s">
        <v>1106</v>
      </c>
      <c r="C25" s="10" t="s">
        <v>1036</v>
      </c>
      <c r="D25" s="10" t="s">
        <v>1107</v>
      </c>
      <c r="E25" s="10" t="s">
        <v>1038</v>
      </c>
    </row>
    <row r="26" customFormat="false" ht="75" hidden="false" customHeight="true" outlineLevel="0" collapsed="false">
      <c r="A26" s="10" t="s">
        <v>1108</v>
      </c>
      <c r="B26" s="10" t="s">
        <v>1109</v>
      </c>
      <c r="C26" s="10" t="s">
        <v>1036</v>
      </c>
      <c r="D26" s="10" t="s">
        <v>1110</v>
      </c>
      <c r="E26" s="10" t="s">
        <v>1038</v>
      </c>
    </row>
    <row r="27" customFormat="false" ht="75" hidden="false" customHeight="true" outlineLevel="0" collapsed="false">
      <c r="A27" s="10" t="s">
        <v>1111</v>
      </c>
      <c r="B27" s="10" t="s">
        <v>1112</v>
      </c>
      <c r="C27" s="10" t="s">
        <v>1036</v>
      </c>
      <c r="D27" s="10" t="s">
        <v>1113</v>
      </c>
      <c r="E27" s="10" t="s">
        <v>1038</v>
      </c>
    </row>
    <row r="28" customFormat="false" ht="75" hidden="false" customHeight="true" outlineLevel="0" collapsed="false">
      <c r="A28" s="10" t="s">
        <v>1114</v>
      </c>
      <c r="B28" s="10" t="s">
        <v>1115</v>
      </c>
      <c r="C28" s="10" t="s">
        <v>1036</v>
      </c>
      <c r="D28" s="10" t="s">
        <v>1116</v>
      </c>
      <c r="E28" s="10" t="s">
        <v>1038</v>
      </c>
    </row>
    <row r="29" customFormat="false" ht="75" hidden="false" customHeight="true" outlineLevel="0" collapsed="false">
      <c r="A29" s="10" t="s">
        <v>1117</v>
      </c>
      <c r="B29" s="10" t="s">
        <v>1118</v>
      </c>
      <c r="C29" s="10" t="s">
        <v>1036</v>
      </c>
      <c r="D29" s="10" t="s">
        <v>1119</v>
      </c>
      <c r="E29" s="10" t="s">
        <v>1038</v>
      </c>
    </row>
    <row r="30" customFormat="false" ht="75" hidden="false" customHeight="true" outlineLevel="0" collapsed="false">
      <c r="A30" s="10" t="s">
        <v>1120</v>
      </c>
      <c r="B30" s="10" t="s">
        <v>1121</v>
      </c>
      <c r="C30" s="10" t="s">
        <v>1036</v>
      </c>
      <c r="D30" s="10" t="s">
        <v>1122</v>
      </c>
      <c r="E30" s="10" t="s">
        <v>1038</v>
      </c>
    </row>
    <row r="31" customFormat="false" ht="75" hidden="false" customHeight="true" outlineLevel="0" collapsed="false">
      <c r="A31" s="10" t="s">
        <v>1123</v>
      </c>
      <c r="B31" s="10" t="s">
        <v>1124</v>
      </c>
      <c r="C31" s="10" t="s">
        <v>1036</v>
      </c>
      <c r="D31" s="10" t="s">
        <v>1125</v>
      </c>
      <c r="E31" s="10" t="s">
        <v>1038</v>
      </c>
    </row>
    <row r="32" customFormat="false" ht="75" hidden="false" customHeight="true" outlineLevel="0" collapsed="false">
      <c r="A32" s="10" t="s">
        <v>1126</v>
      </c>
      <c r="B32" s="10" t="s">
        <v>1127</v>
      </c>
      <c r="C32" s="10" t="s">
        <v>1036</v>
      </c>
      <c r="D32" s="10" t="s">
        <v>1128</v>
      </c>
      <c r="E32" s="10" t="s">
        <v>1038</v>
      </c>
    </row>
    <row r="33" customFormat="false" ht="75" hidden="false" customHeight="true" outlineLevel="0" collapsed="false">
      <c r="A33" s="10" t="s">
        <v>1129</v>
      </c>
      <c r="B33" s="10" t="s">
        <v>1130</v>
      </c>
      <c r="C33" s="10" t="s">
        <v>1036</v>
      </c>
      <c r="D33" s="10" t="s">
        <v>1131</v>
      </c>
      <c r="E33" s="10" t="s">
        <v>1038</v>
      </c>
    </row>
    <row r="34" customFormat="false" ht="75" hidden="false" customHeight="true" outlineLevel="0" collapsed="false">
      <c r="A34" s="10" t="s">
        <v>1132</v>
      </c>
      <c r="B34" s="10" t="s">
        <v>1133</v>
      </c>
      <c r="C34" s="10" t="s">
        <v>1036</v>
      </c>
      <c r="D34" s="10" t="s">
        <v>1134</v>
      </c>
      <c r="E34" s="10" t="s">
        <v>1038</v>
      </c>
    </row>
    <row r="35" customFormat="false" ht="75" hidden="false" customHeight="true" outlineLevel="0" collapsed="false">
      <c r="A35" s="10" t="s">
        <v>1135</v>
      </c>
      <c r="B35" s="10" t="s">
        <v>1136</v>
      </c>
      <c r="C35" s="10" t="s">
        <v>1036</v>
      </c>
      <c r="D35" s="10" t="s">
        <v>1137</v>
      </c>
      <c r="E35" s="10" t="s">
        <v>1038</v>
      </c>
    </row>
    <row r="36" customFormat="false" ht="75" hidden="false" customHeight="true" outlineLevel="0" collapsed="false">
      <c r="A36" s="10" t="s">
        <v>1138</v>
      </c>
      <c r="B36" s="10" t="s">
        <v>1139</v>
      </c>
      <c r="C36" s="10" t="s">
        <v>1036</v>
      </c>
      <c r="D36" s="10" t="s">
        <v>1140</v>
      </c>
      <c r="E36" s="10" t="s">
        <v>1038</v>
      </c>
    </row>
    <row r="37" customFormat="false" ht="75" hidden="false" customHeight="true" outlineLevel="0" collapsed="false">
      <c r="A37" s="10" t="s">
        <v>1141</v>
      </c>
      <c r="B37" s="10" t="s">
        <v>1142</v>
      </c>
      <c r="C37" s="10" t="s">
        <v>1036</v>
      </c>
      <c r="D37" s="10" t="s">
        <v>1143</v>
      </c>
      <c r="E37" s="10" t="s">
        <v>1038</v>
      </c>
    </row>
    <row r="38" customFormat="false" ht="75" hidden="false" customHeight="true" outlineLevel="0" collapsed="false">
      <c r="A38" s="10" t="s">
        <v>1144</v>
      </c>
      <c r="B38" s="10" t="s">
        <v>1145</v>
      </c>
      <c r="C38" s="10" t="s">
        <v>1036</v>
      </c>
      <c r="D38" s="10" t="s">
        <v>1146</v>
      </c>
      <c r="E38" s="10" t="s">
        <v>1038</v>
      </c>
    </row>
    <row r="39" customFormat="false" ht="75" hidden="false" customHeight="true" outlineLevel="0" collapsed="false">
      <c r="A39" s="10" t="s">
        <v>1147</v>
      </c>
      <c r="B39" s="10" t="s">
        <v>1148</v>
      </c>
      <c r="C39" s="10" t="s">
        <v>1036</v>
      </c>
      <c r="D39" s="10" t="s">
        <v>1149</v>
      </c>
      <c r="E39" s="10" t="s">
        <v>1038</v>
      </c>
    </row>
    <row r="40" customFormat="false" ht="75" hidden="false" customHeight="true" outlineLevel="0" collapsed="false">
      <c r="A40" s="10" t="s">
        <v>1150</v>
      </c>
      <c r="B40" s="10" t="s">
        <v>1151</v>
      </c>
      <c r="C40" s="10" t="s">
        <v>1036</v>
      </c>
      <c r="D40" s="10" t="s">
        <v>1152</v>
      </c>
      <c r="E40" s="10" t="s">
        <v>1038</v>
      </c>
    </row>
    <row r="41" customFormat="false" ht="75" hidden="false" customHeight="true" outlineLevel="0" collapsed="false">
      <c r="A41" s="10" t="s">
        <v>1153</v>
      </c>
      <c r="B41" s="10" t="s">
        <v>1154</v>
      </c>
      <c r="C41" s="10" t="s">
        <v>1036</v>
      </c>
      <c r="D41" s="10" t="s">
        <v>1155</v>
      </c>
      <c r="E41" s="10" t="s">
        <v>1038</v>
      </c>
    </row>
    <row r="42" customFormat="false" ht="75" hidden="false" customHeight="true" outlineLevel="0" collapsed="false">
      <c r="A42" s="10" t="s">
        <v>1156</v>
      </c>
      <c r="B42" s="10" t="s">
        <v>1157</v>
      </c>
      <c r="C42" s="10" t="s">
        <v>1036</v>
      </c>
      <c r="D42" s="10" t="s">
        <v>1158</v>
      </c>
      <c r="E42" s="10" t="s">
        <v>1038</v>
      </c>
    </row>
    <row r="43" customFormat="false" ht="75" hidden="false" customHeight="true" outlineLevel="0" collapsed="false">
      <c r="A43" s="10" t="s">
        <v>1159</v>
      </c>
      <c r="B43" s="10" t="s">
        <v>1160</v>
      </c>
      <c r="C43" s="10" t="s">
        <v>1036</v>
      </c>
      <c r="D43" s="10" t="s">
        <v>1161</v>
      </c>
      <c r="E43" s="10" t="s">
        <v>1038</v>
      </c>
    </row>
    <row r="44" customFormat="false" ht="75" hidden="false" customHeight="true" outlineLevel="0" collapsed="false">
      <c r="A44" s="10" t="s">
        <v>1162</v>
      </c>
      <c r="B44" s="10" t="s">
        <v>1163</v>
      </c>
      <c r="C44" s="10" t="s">
        <v>1036</v>
      </c>
      <c r="D44" s="10" t="s">
        <v>1164</v>
      </c>
      <c r="E44" s="10" t="s">
        <v>1038</v>
      </c>
    </row>
    <row r="45" customFormat="false" ht="75" hidden="false" customHeight="true" outlineLevel="0" collapsed="false">
      <c r="A45" s="10" t="s">
        <v>1165</v>
      </c>
      <c r="B45" s="10" t="s">
        <v>1166</v>
      </c>
      <c r="C45" s="10" t="s">
        <v>1036</v>
      </c>
      <c r="D45" s="10" t="s">
        <v>1167</v>
      </c>
      <c r="E45" s="10" t="s">
        <v>1038</v>
      </c>
    </row>
    <row r="46" customFormat="false" ht="75" hidden="false" customHeight="true" outlineLevel="0" collapsed="false">
      <c r="A46" s="10" t="s">
        <v>1168</v>
      </c>
      <c r="B46" s="10" t="s">
        <v>1169</v>
      </c>
      <c r="C46" s="10" t="s">
        <v>1036</v>
      </c>
      <c r="D46" s="10" t="s">
        <v>1170</v>
      </c>
      <c r="E46" s="10" t="s">
        <v>1038</v>
      </c>
    </row>
    <row r="47" customFormat="false" ht="75" hidden="false" customHeight="true" outlineLevel="0" collapsed="false">
      <c r="A47" s="10" t="s">
        <v>1171</v>
      </c>
      <c r="B47" s="10" t="s">
        <v>1172</v>
      </c>
      <c r="C47" s="10" t="s">
        <v>1036</v>
      </c>
      <c r="D47" s="10" t="s">
        <v>1173</v>
      </c>
      <c r="E47" s="10" t="s">
        <v>1038</v>
      </c>
    </row>
    <row r="48" customFormat="false" ht="75" hidden="false" customHeight="true" outlineLevel="0" collapsed="false">
      <c r="A48" s="10" t="s">
        <v>1174</v>
      </c>
      <c r="B48" s="10" t="s">
        <v>1175</v>
      </c>
      <c r="C48" s="10" t="s">
        <v>1036</v>
      </c>
      <c r="D48" s="10" t="s">
        <v>1176</v>
      </c>
      <c r="E48" s="10" t="s">
        <v>1038</v>
      </c>
    </row>
    <row r="49" customFormat="false" ht="75" hidden="false" customHeight="true" outlineLevel="0" collapsed="false">
      <c r="A49" s="10" t="s">
        <v>1177</v>
      </c>
      <c r="B49" s="10" t="s">
        <v>1178</v>
      </c>
      <c r="C49" s="10" t="s">
        <v>1036</v>
      </c>
      <c r="D49" s="10" t="s">
        <v>1179</v>
      </c>
      <c r="E49" s="10" t="s">
        <v>1038</v>
      </c>
    </row>
    <row r="50" customFormat="false" ht="75" hidden="false" customHeight="true" outlineLevel="0" collapsed="false">
      <c r="A50" s="10" t="s">
        <v>1180</v>
      </c>
      <c r="B50" s="10" t="s">
        <v>1181</v>
      </c>
      <c r="C50" s="10" t="s">
        <v>1036</v>
      </c>
      <c r="D50" s="10" t="s">
        <v>1182</v>
      </c>
      <c r="E50" s="10" t="s">
        <v>1038</v>
      </c>
    </row>
    <row r="51" customFormat="false" ht="75" hidden="false" customHeight="true" outlineLevel="0" collapsed="false">
      <c r="A51" s="10" t="s">
        <v>1183</v>
      </c>
      <c r="B51" s="10" t="s">
        <v>1184</v>
      </c>
      <c r="C51" s="10" t="s">
        <v>1036</v>
      </c>
      <c r="D51" s="10" t="s">
        <v>1185</v>
      </c>
      <c r="E51" s="10" t="s">
        <v>1038</v>
      </c>
    </row>
    <row r="52" customFormat="false" ht="75" hidden="false" customHeight="true" outlineLevel="0" collapsed="false">
      <c r="A52" s="10" t="s">
        <v>1186</v>
      </c>
      <c r="B52" s="10" t="s">
        <v>1187</v>
      </c>
      <c r="C52" s="10" t="s">
        <v>1036</v>
      </c>
      <c r="D52" s="10" t="s">
        <v>1188</v>
      </c>
      <c r="E52" s="10" t="s">
        <v>1038</v>
      </c>
    </row>
    <row r="53" customFormat="false" ht="75" hidden="false" customHeight="true" outlineLevel="0" collapsed="false">
      <c r="A53" s="10" t="s">
        <v>1189</v>
      </c>
      <c r="B53" s="10" t="s">
        <v>1190</v>
      </c>
      <c r="C53" s="10" t="s">
        <v>1036</v>
      </c>
      <c r="D53" s="10" t="s">
        <v>1191</v>
      </c>
      <c r="E53" s="10" t="s">
        <v>1038</v>
      </c>
    </row>
    <row r="54" customFormat="false" ht="75" hidden="false" customHeight="true" outlineLevel="0" collapsed="false">
      <c r="A54" s="10" t="s">
        <v>1192</v>
      </c>
      <c r="B54" s="10" t="s">
        <v>1193</v>
      </c>
      <c r="C54" s="10" t="s">
        <v>1036</v>
      </c>
      <c r="D54" s="10" t="s">
        <v>1194</v>
      </c>
      <c r="E54" s="10" t="s">
        <v>1038</v>
      </c>
    </row>
    <row r="55" customFormat="false" ht="75" hidden="false" customHeight="true" outlineLevel="0" collapsed="false">
      <c r="A55" s="10" t="s">
        <v>1195</v>
      </c>
      <c r="B55" s="10" t="s">
        <v>1196</v>
      </c>
      <c r="C55" s="10" t="s">
        <v>1036</v>
      </c>
      <c r="D55" s="10" t="s">
        <v>1197</v>
      </c>
      <c r="E55" s="10" t="s">
        <v>1038</v>
      </c>
    </row>
    <row r="56" customFormat="false" ht="75" hidden="false" customHeight="true" outlineLevel="0" collapsed="false">
      <c r="A56" s="10" t="s">
        <v>1198</v>
      </c>
      <c r="B56" s="10" t="s">
        <v>1199</v>
      </c>
      <c r="C56" s="10" t="s">
        <v>1036</v>
      </c>
      <c r="D56" s="10" t="s">
        <v>1200</v>
      </c>
      <c r="E56" s="10" t="s">
        <v>1038</v>
      </c>
    </row>
    <row r="57" customFormat="false" ht="75" hidden="false" customHeight="true" outlineLevel="0" collapsed="false">
      <c r="A57" s="10" t="s">
        <v>1201</v>
      </c>
      <c r="B57" s="10" t="s">
        <v>1202</v>
      </c>
      <c r="C57" s="10" t="s">
        <v>1036</v>
      </c>
      <c r="D57" s="10" t="s">
        <v>1203</v>
      </c>
      <c r="E57" s="10" t="s">
        <v>1038</v>
      </c>
    </row>
    <row r="58" customFormat="false" ht="75" hidden="false" customHeight="true" outlineLevel="0" collapsed="false">
      <c r="A58" s="10" t="s">
        <v>1204</v>
      </c>
      <c r="B58" s="10" t="s">
        <v>1205</v>
      </c>
      <c r="C58" s="10" t="s">
        <v>1036</v>
      </c>
      <c r="D58" s="10" t="s">
        <v>1206</v>
      </c>
      <c r="E58" s="10" t="s">
        <v>1038</v>
      </c>
    </row>
    <row r="59" customFormat="false" ht="75" hidden="false" customHeight="true" outlineLevel="0" collapsed="false">
      <c r="A59" s="10" t="s">
        <v>1207</v>
      </c>
      <c r="B59" s="10" t="s">
        <v>1208</v>
      </c>
      <c r="C59" s="10" t="s">
        <v>1036</v>
      </c>
      <c r="D59" s="10" t="s">
        <v>1209</v>
      </c>
      <c r="E59" s="10" t="s">
        <v>1038</v>
      </c>
    </row>
    <row r="60" customFormat="false" ht="75" hidden="false" customHeight="true" outlineLevel="0" collapsed="false">
      <c r="A60" s="10" t="s">
        <v>1210</v>
      </c>
      <c r="B60" s="10" t="s">
        <v>1211</v>
      </c>
      <c r="C60" s="10" t="s">
        <v>1036</v>
      </c>
      <c r="D60" s="10" t="s">
        <v>1212</v>
      </c>
      <c r="E60" s="10" t="s">
        <v>1038</v>
      </c>
    </row>
    <row r="61" customFormat="false" ht="75" hidden="false" customHeight="true" outlineLevel="0" collapsed="false">
      <c r="A61" s="10" t="s">
        <v>1213</v>
      </c>
      <c r="B61" s="10" t="s">
        <v>1214</v>
      </c>
      <c r="C61" s="10" t="s">
        <v>1036</v>
      </c>
      <c r="D61" s="10" t="s">
        <v>1215</v>
      </c>
      <c r="E61" s="10" t="s">
        <v>1038</v>
      </c>
    </row>
    <row r="62" customFormat="false" ht="75" hidden="false" customHeight="true" outlineLevel="0" collapsed="false">
      <c r="A62" s="10" t="s">
        <v>1216</v>
      </c>
      <c r="B62" s="10" t="s">
        <v>1217</v>
      </c>
      <c r="C62" s="10" t="s">
        <v>1036</v>
      </c>
      <c r="D62" s="10" t="s">
        <v>1218</v>
      </c>
      <c r="E62" s="10" t="s">
        <v>1038</v>
      </c>
    </row>
    <row r="63" customFormat="false" ht="75" hidden="false" customHeight="true" outlineLevel="0" collapsed="false">
      <c r="A63" s="10" t="s">
        <v>1219</v>
      </c>
      <c r="B63" s="10" t="s">
        <v>1220</v>
      </c>
      <c r="C63" s="10" t="s">
        <v>1036</v>
      </c>
      <c r="D63" s="10" t="s">
        <v>1221</v>
      </c>
      <c r="E63" s="10" t="s">
        <v>1038</v>
      </c>
    </row>
    <row r="64" customFormat="false" ht="75" hidden="false" customHeight="true" outlineLevel="0" collapsed="false">
      <c r="A64" s="10" t="s">
        <v>1222</v>
      </c>
      <c r="B64" s="10" t="s">
        <v>1223</v>
      </c>
      <c r="C64" s="10" t="s">
        <v>1036</v>
      </c>
      <c r="D64" s="10" t="s">
        <v>1224</v>
      </c>
      <c r="E64" s="10" t="s">
        <v>1038</v>
      </c>
    </row>
    <row r="65" customFormat="false" ht="75" hidden="false" customHeight="true" outlineLevel="0" collapsed="false">
      <c r="A65" s="10" t="s">
        <v>1225</v>
      </c>
      <c r="B65" s="10" t="s">
        <v>1226</v>
      </c>
      <c r="C65" s="10" t="s">
        <v>1036</v>
      </c>
      <c r="D65" s="10" t="s">
        <v>1227</v>
      </c>
      <c r="E65" s="10" t="s">
        <v>1038</v>
      </c>
    </row>
    <row r="66" customFormat="false" ht="75" hidden="false" customHeight="true" outlineLevel="0" collapsed="false">
      <c r="A66" s="10" t="s">
        <v>1228</v>
      </c>
      <c r="B66" s="10" t="s">
        <v>1229</v>
      </c>
      <c r="C66" s="10" t="s">
        <v>1036</v>
      </c>
      <c r="D66" s="10" t="s">
        <v>1230</v>
      </c>
      <c r="E66" s="10" t="s">
        <v>1038</v>
      </c>
    </row>
    <row r="67" customFormat="false" ht="75" hidden="false" customHeight="true" outlineLevel="0" collapsed="false">
      <c r="A67" s="10" t="s">
        <v>1231</v>
      </c>
      <c r="B67" s="10" t="s">
        <v>1232</v>
      </c>
      <c r="C67" s="10" t="s">
        <v>1036</v>
      </c>
      <c r="D67" s="10" t="s">
        <v>1233</v>
      </c>
      <c r="E67" s="10" t="s">
        <v>1038</v>
      </c>
    </row>
    <row r="68" customFormat="false" ht="75" hidden="false" customHeight="true" outlineLevel="0" collapsed="false">
      <c r="A68" s="10" t="s">
        <v>1234</v>
      </c>
      <c r="B68" s="10" t="s">
        <v>1235</v>
      </c>
      <c r="C68" s="10" t="s">
        <v>1036</v>
      </c>
      <c r="D68" s="10" t="s">
        <v>1236</v>
      </c>
      <c r="E68" s="10" t="s">
        <v>1038</v>
      </c>
    </row>
    <row r="69" customFormat="false" ht="75" hidden="false" customHeight="true" outlineLevel="0" collapsed="false">
      <c r="A69" s="10" t="s">
        <v>1237</v>
      </c>
      <c r="B69" s="10" t="s">
        <v>1238</v>
      </c>
      <c r="C69" s="10" t="s">
        <v>1036</v>
      </c>
      <c r="D69" s="10" t="s">
        <v>1239</v>
      </c>
      <c r="E69" s="10" t="s">
        <v>1038</v>
      </c>
    </row>
    <row r="70" customFormat="false" ht="75" hidden="false" customHeight="true" outlineLevel="0" collapsed="false">
      <c r="A70" s="10" t="s">
        <v>1240</v>
      </c>
      <c r="B70" s="10" t="s">
        <v>1241</v>
      </c>
      <c r="C70" s="10" t="s">
        <v>1036</v>
      </c>
      <c r="D70" s="10" t="s">
        <v>1242</v>
      </c>
      <c r="E70" s="10" t="s">
        <v>1038</v>
      </c>
    </row>
    <row r="71" customFormat="false" ht="75" hidden="false" customHeight="true" outlineLevel="0" collapsed="false">
      <c r="A71" s="10" t="s">
        <v>1243</v>
      </c>
      <c r="B71" s="10" t="s">
        <v>1244</v>
      </c>
      <c r="C71" s="10" t="s">
        <v>1036</v>
      </c>
      <c r="D71" s="10" t="s">
        <v>1245</v>
      </c>
      <c r="E71" s="10" t="s">
        <v>1038</v>
      </c>
    </row>
    <row r="72" customFormat="false" ht="75" hidden="false" customHeight="true" outlineLevel="0" collapsed="false">
      <c r="A72" s="10" t="s">
        <v>1246</v>
      </c>
      <c r="B72" s="10" t="s">
        <v>1247</v>
      </c>
      <c r="C72" s="10" t="s">
        <v>1036</v>
      </c>
      <c r="D72" s="10" t="s">
        <v>1248</v>
      </c>
      <c r="E72" s="10" t="s">
        <v>1038</v>
      </c>
    </row>
    <row r="73" customFormat="false" ht="75" hidden="false" customHeight="true" outlineLevel="0" collapsed="false">
      <c r="A73" s="10" t="s">
        <v>1249</v>
      </c>
      <c r="B73" s="10" t="s">
        <v>1250</v>
      </c>
      <c r="C73" s="10" t="s">
        <v>1036</v>
      </c>
      <c r="D73" s="10" t="s">
        <v>1251</v>
      </c>
      <c r="E73" s="10" t="s">
        <v>1038</v>
      </c>
    </row>
    <row r="74" customFormat="false" ht="75" hidden="false" customHeight="true" outlineLevel="0" collapsed="false">
      <c r="A74" s="10" t="s">
        <v>1252</v>
      </c>
      <c r="B74" s="10" t="s">
        <v>1253</v>
      </c>
      <c r="C74" s="10" t="s">
        <v>1036</v>
      </c>
      <c r="D74" s="10" t="s">
        <v>1254</v>
      </c>
      <c r="E74" s="10" t="s">
        <v>1038</v>
      </c>
    </row>
    <row r="75" customFormat="false" ht="75" hidden="false" customHeight="true" outlineLevel="0" collapsed="false">
      <c r="A75" s="10" t="s">
        <v>1255</v>
      </c>
      <c r="B75" s="10" t="s">
        <v>1256</v>
      </c>
      <c r="C75" s="10" t="s">
        <v>1036</v>
      </c>
      <c r="D75" s="10" t="s">
        <v>1257</v>
      </c>
      <c r="E75" s="10" t="s">
        <v>1038</v>
      </c>
    </row>
    <row r="76" customFormat="false" ht="75" hidden="false" customHeight="true" outlineLevel="0" collapsed="false">
      <c r="A76" s="10" t="s">
        <v>1258</v>
      </c>
      <c r="B76" s="10" t="s">
        <v>1259</v>
      </c>
      <c r="C76" s="10" t="s">
        <v>1036</v>
      </c>
      <c r="D76" s="10" t="s">
        <v>1260</v>
      </c>
      <c r="E76" s="10" t="s">
        <v>1038</v>
      </c>
    </row>
    <row r="77" customFormat="false" ht="75" hidden="false" customHeight="true" outlineLevel="0" collapsed="false">
      <c r="A77" s="10" t="s">
        <v>1261</v>
      </c>
      <c r="B77" s="10" t="s">
        <v>1262</v>
      </c>
      <c r="C77" s="10" t="s">
        <v>1036</v>
      </c>
      <c r="D77" s="10" t="s">
        <v>1263</v>
      </c>
      <c r="E77" s="10" t="s">
        <v>1038</v>
      </c>
    </row>
    <row r="78" customFormat="false" ht="75" hidden="false" customHeight="true" outlineLevel="0" collapsed="false">
      <c r="A78" s="10" t="s">
        <v>1264</v>
      </c>
      <c r="B78" s="10" t="s">
        <v>1265</v>
      </c>
      <c r="C78" s="10" t="s">
        <v>1036</v>
      </c>
      <c r="D78" s="10" t="s">
        <v>1266</v>
      </c>
      <c r="E78" s="10" t="s">
        <v>1038</v>
      </c>
    </row>
    <row r="79" customFormat="false" ht="75" hidden="false" customHeight="true" outlineLevel="0" collapsed="false">
      <c r="A79" s="10" t="s">
        <v>1267</v>
      </c>
      <c r="B79" s="10" t="s">
        <v>1268</v>
      </c>
      <c r="C79" s="10" t="s">
        <v>1036</v>
      </c>
      <c r="D79" s="10" t="s">
        <v>1269</v>
      </c>
      <c r="E79" s="10" t="s">
        <v>1038</v>
      </c>
    </row>
    <row r="80" customFormat="false" ht="75" hidden="false" customHeight="true" outlineLevel="0" collapsed="false">
      <c r="A80" s="10" t="s">
        <v>1270</v>
      </c>
      <c r="B80" s="10" t="s">
        <v>1271</v>
      </c>
      <c r="C80" s="10" t="s">
        <v>1036</v>
      </c>
      <c r="D80" s="10" t="s">
        <v>1272</v>
      </c>
      <c r="E80" s="10" t="s">
        <v>1038</v>
      </c>
    </row>
    <row r="81" customFormat="false" ht="75" hidden="false" customHeight="true" outlineLevel="0" collapsed="false">
      <c r="A81" s="10" t="s">
        <v>1273</v>
      </c>
      <c r="B81" s="10" t="s">
        <v>1274</v>
      </c>
      <c r="C81" s="10" t="s">
        <v>1036</v>
      </c>
      <c r="D81" s="10" t="s">
        <v>1275</v>
      </c>
      <c r="E81" s="10" t="s">
        <v>1038</v>
      </c>
    </row>
    <row r="82" customFormat="false" ht="75" hidden="false" customHeight="true" outlineLevel="0" collapsed="false">
      <c r="A82" s="10" t="s">
        <v>1276</v>
      </c>
      <c r="B82" s="10" t="s">
        <v>1277</v>
      </c>
      <c r="C82" s="10" t="s">
        <v>1036</v>
      </c>
      <c r="D82" s="10" t="s">
        <v>1278</v>
      </c>
      <c r="E82" s="10" t="s">
        <v>1038</v>
      </c>
    </row>
    <row r="83" customFormat="false" ht="75" hidden="false" customHeight="true" outlineLevel="0" collapsed="false">
      <c r="A83" s="10" t="s">
        <v>1279</v>
      </c>
      <c r="B83" s="10" t="s">
        <v>1280</v>
      </c>
      <c r="C83" s="10" t="s">
        <v>1036</v>
      </c>
      <c r="D83" s="10" t="s">
        <v>1281</v>
      </c>
      <c r="E83" s="10" t="s">
        <v>1038</v>
      </c>
    </row>
    <row r="84" customFormat="false" ht="75" hidden="false" customHeight="true" outlineLevel="0" collapsed="false">
      <c r="A84" s="10" t="s">
        <v>1282</v>
      </c>
      <c r="B84" s="10" t="s">
        <v>1283</v>
      </c>
      <c r="C84" s="10" t="s">
        <v>1036</v>
      </c>
      <c r="D84" s="10" t="s">
        <v>1284</v>
      </c>
      <c r="E84" s="10" t="s">
        <v>1038</v>
      </c>
    </row>
    <row r="85" customFormat="false" ht="75" hidden="false" customHeight="true" outlineLevel="0" collapsed="false">
      <c r="A85" s="10" t="s">
        <v>1285</v>
      </c>
      <c r="B85" s="10" t="s">
        <v>1286</v>
      </c>
      <c r="C85" s="10" t="s">
        <v>1036</v>
      </c>
      <c r="D85" s="10" t="s">
        <v>1287</v>
      </c>
      <c r="E85" s="10" t="s">
        <v>1038</v>
      </c>
    </row>
    <row r="86" customFormat="false" ht="75" hidden="false" customHeight="true" outlineLevel="0" collapsed="false">
      <c r="A86" s="10" t="s">
        <v>1288</v>
      </c>
      <c r="B86" s="10" t="s">
        <v>1289</v>
      </c>
      <c r="C86" s="10" t="s">
        <v>1036</v>
      </c>
      <c r="D86" s="10" t="s">
        <v>1290</v>
      </c>
      <c r="E86" s="10" t="s">
        <v>1038</v>
      </c>
    </row>
    <row r="87" customFormat="false" ht="75" hidden="false" customHeight="true" outlineLevel="0" collapsed="false">
      <c r="A87" s="10" t="s">
        <v>1291</v>
      </c>
      <c r="B87" s="10" t="s">
        <v>1292</v>
      </c>
      <c r="C87" s="10" t="s">
        <v>1036</v>
      </c>
      <c r="D87" s="10" t="s">
        <v>1293</v>
      </c>
      <c r="E87" s="10" t="s">
        <v>1038</v>
      </c>
    </row>
    <row r="88" customFormat="false" ht="75" hidden="false" customHeight="true" outlineLevel="0" collapsed="false">
      <c r="A88" s="10" t="s">
        <v>1294</v>
      </c>
      <c r="B88" s="10" t="s">
        <v>1295</v>
      </c>
      <c r="C88" s="10" t="s">
        <v>1036</v>
      </c>
      <c r="D88" s="10" t="s">
        <v>1296</v>
      </c>
      <c r="E88" s="10" t="s">
        <v>1038</v>
      </c>
    </row>
    <row r="89" customFormat="false" ht="75" hidden="false" customHeight="true" outlineLevel="0" collapsed="false">
      <c r="A89" s="10" t="s">
        <v>1297</v>
      </c>
      <c r="B89" s="10" t="s">
        <v>1298</v>
      </c>
      <c r="C89" s="10" t="s">
        <v>1036</v>
      </c>
      <c r="D89" s="10" t="s">
        <v>1299</v>
      </c>
      <c r="E89" s="10" t="s">
        <v>1038</v>
      </c>
    </row>
    <row r="90" customFormat="false" ht="75" hidden="false" customHeight="true" outlineLevel="0" collapsed="false">
      <c r="A90" s="10" t="s">
        <v>1300</v>
      </c>
      <c r="B90" s="10" t="s">
        <v>1301</v>
      </c>
      <c r="C90" s="10" t="s">
        <v>1036</v>
      </c>
      <c r="D90" s="10" t="s">
        <v>1302</v>
      </c>
      <c r="E90" s="10" t="s">
        <v>1038</v>
      </c>
    </row>
    <row r="91" customFormat="false" ht="75" hidden="false" customHeight="true" outlineLevel="0" collapsed="false">
      <c r="A91" s="10" t="s">
        <v>1303</v>
      </c>
      <c r="B91" s="10" t="s">
        <v>1304</v>
      </c>
      <c r="C91" s="10" t="s">
        <v>1036</v>
      </c>
      <c r="D91" s="10" t="s">
        <v>1305</v>
      </c>
      <c r="E91" s="10" t="s">
        <v>1038</v>
      </c>
    </row>
    <row r="92" customFormat="false" ht="75" hidden="false" customHeight="true" outlineLevel="0" collapsed="false">
      <c r="A92" s="10" t="s">
        <v>1306</v>
      </c>
      <c r="B92" s="10" t="s">
        <v>1307</v>
      </c>
      <c r="C92" s="10" t="s">
        <v>1036</v>
      </c>
      <c r="D92" s="10" t="s">
        <v>1308</v>
      </c>
      <c r="E92" s="10" t="s">
        <v>1038</v>
      </c>
    </row>
    <row r="93" customFormat="false" ht="75" hidden="false" customHeight="true" outlineLevel="0" collapsed="false">
      <c r="A93" s="10" t="s">
        <v>1309</v>
      </c>
      <c r="B93" s="10" t="s">
        <v>1310</v>
      </c>
      <c r="C93" s="10" t="s">
        <v>1036</v>
      </c>
      <c r="D93" s="10" t="s">
        <v>1311</v>
      </c>
      <c r="E93" s="10" t="s">
        <v>1038</v>
      </c>
    </row>
    <row r="94" customFormat="false" ht="75" hidden="false" customHeight="true" outlineLevel="0" collapsed="false">
      <c r="A94" s="10" t="s">
        <v>1312</v>
      </c>
      <c r="B94" s="10" t="s">
        <v>1313</v>
      </c>
      <c r="C94" s="10" t="s">
        <v>1036</v>
      </c>
      <c r="D94" s="10" t="s">
        <v>1314</v>
      </c>
      <c r="E94" s="10" t="s">
        <v>1038</v>
      </c>
    </row>
    <row r="95" customFormat="false" ht="75" hidden="false" customHeight="true" outlineLevel="0" collapsed="false">
      <c r="A95" s="10" t="s">
        <v>1315</v>
      </c>
      <c r="B95" s="10" t="s">
        <v>1316</v>
      </c>
      <c r="C95" s="10" t="s">
        <v>1036</v>
      </c>
      <c r="D95" s="10" t="s">
        <v>1317</v>
      </c>
      <c r="E95" s="10" t="s">
        <v>1038</v>
      </c>
    </row>
    <row r="96" customFormat="false" ht="75" hidden="false" customHeight="true" outlineLevel="0" collapsed="false">
      <c r="A96" s="10" t="s">
        <v>1318</v>
      </c>
      <c r="B96" s="10" t="s">
        <v>1319</v>
      </c>
      <c r="C96" s="10" t="s">
        <v>1036</v>
      </c>
      <c r="D96" s="10" t="s">
        <v>1320</v>
      </c>
      <c r="E96" s="10" t="s">
        <v>1038</v>
      </c>
    </row>
    <row r="97" customFormat="false" ht="75" hidden="false" customHeight="true" outlineLevel="0" collapsed="false">
      <c r="A97" s="10" t="s">
        <v>1321</v>
      </c>
      <c r="B97" s="10" t="s">
        <v>1322</v>
      </c>
      <c r="C97" s="10" t="s">
        <v>1036</v>
      </c>
      <c r="D97" s="10" t="s">
        <v>1323</v>
      </c>
      <c r="E97" s="10" t="s">
        <v>1038</v>
      </c>
    </row>
    <row r="98" customFormat="false" ht="75" hidden="false" customHeight="true" outlineLevel="0" collapsed="false">
      <c r="A98" s="10" t="s">
        <v>1324</v>
      </c>
      <c r="B98" s="10" t="s">
        <v>1325</v>
      </c>
      <c r="C98" s="10" t="s">
        <v>1036</v>
      </c>
      <c r="D98" s="10" t="s">
        <v>1326</v>
      </c>
      <c r="E98" s="10" t="s">
        <v>1038</v>
      </c>
    </row>
    <row r="99" customFormat="false" ht="75" hidden="false" customHeight="true" outlineLevel="0" collapsed="false">
      <c r="A99" s="10" t="s">
        <v>1327</v>
      </c>
      <c r="B99" s="10" t="s">
        <v>1328</v>
      </c>
      <c r="C99" s="10" t="s">
        <v>1036</v>
      </c>
      <c r="D99" s="10" t="s">
        <v>1329</v>
      </c>
      <c r="E99" s="10" t="s">
        <v>1038</v>
      </c>
    </row>
    <row r="100" customFormat="false" ht="75" hidden="false" customHeight="true" outlineLevel="0" collapsed="false">
      <c r="A100" s="10" t="s">
        <v>1330</v>
      </c>
      <c r="B100" s="10" t="s">
        <v>1331</v>
      </c>
      <c r="C100" s="10" t="s">
        <v>1036</v>
      </c>
      <c r="D100" s="10" t="s">
        <v>1332</v>
      </c>
      <c r="E100" s="10" t="s">
        <v>1038</v>
      </c>
    </row>
    <row r="101" customFormat="false" ht="75" hidden="false" customHeight="true" outlineLevel="0" collapsed="false">
      <c r="A101" s="10" t="s">
        <v>1333</v>
      </c>
      <c r="B101" s="10" t="s">
        <v>1334</v>
      </c>
      <c r="C101" s="10" t="s">
        <v>1036</v>
      </c>
      <c r="D101" s="10" t="s">
        <v>1335</v>
      </c>
      <c r="E101" s="10" t="s">
        <v>1038</v>
      </c>
    </row>
    <row r="102" customFormat="false" ht="75" hidden="false" customHeight="true" outlineLevel="0" collapsed="false">
      <c r="A102" s="10" t="s">
        <v>1336</v>
      </c>
      <c r="B102" s="10" t="s">
        <v>1337</v>
      </c>
      <c r="C102" s="10" t="s">
        <v>1036</v>
      </c>
      <c r="D102" s="10" t="s">
        <v>1338</v>
      </c>
      <c r="E102" s="10" t="s">
        <v>1038</v>
      </c>
    </row>
    <row r="103" customFormat="false" ht="75" hidden="false" customHeight="true" outlineLevel="0" collapsed="false">
      <c r="A103" s="10" t="s">
        <v>1339</v>
      </c>
      <c r="B103" s="10" t="s">
        <v>1340</v>
      </c>
      <c r="C103" s="10" t="s">
        <v>1036</v>
      </c>
      <c r="D103" s="10" t="s">
        <v>1341</v>
      </c>
      <c r="E103" s="10" t="s">
        <v>1038</v>
      </c>
    </row>
    <row r="104" customFormat="false" ht="75" hidden="false" customHeight="true" outlineLevel="0" collapsed="false">
      <c r="A104" s="10" t="s">
        <v>1342</v>
      </c>
      <c r="B104" s="10" t="s">
        <v>1343</v>
      </c>
      <c r="C104" s="10" t="s">
        <v>1036</v>
      </c>
      <c r="D104" s="10" t="s">
        <v>1344</v>
      </c>
      <c r="E104" s="10" t="s">
        <v>1038</v>
      </c>
    </row>
    <row r="105" customFormat="false" ht="75" hidden="false" customHeight="true" outlineLevel="0" collapsed="false">
      <c r="A105" s="10" t="s">
        <v>1345</v>
      </c>
      <c r="B105" s="10" t="s">
        <v>1346</v>
      </c>
      <c r="C105" s="10" t="s">
        <v>1036</v>
      </c>
      <c r="D105" s="10" t="s">
        <v>1347</v>
      </c>
      <c r="E105" s="10" t="s">
        <v>1038</v>
      </c>
    </row>
    <row r="106" customFormat="false" ht="75" hidden="false" customHeight="true" outlineLevel="0" collapsed="false">
      <c r="A106" s="10" t="s">
        <v>1348</v>
      </c>
      <c r="B106" s="10" t="s">
        <v>1349</v>
      </c>
      <c r="C106" s="10" t="s">
        <v>1036</v>
      </c>
      <c r="D106" s="10" t="s">
        <v>1350</v>
      </c>
      <c r="E106" s="10" t="s">
        <v>1038</v>
      </c>
    </row>
    <row r="107" customFormat="false" ht="75" hidden="false" customHeight="true" outlineLevel="0" collapsed="false">
      <c r="A107" s="10" t="s">
        <v>1351</v>
      </c>
      <c r="B107" s="10" t="s">
        <v>1352</v>
      </c>
      <c r="C107" s="10" t="s">
        <v>1036</v>
      </c>
      <c r="D107" s="10" t="s">
        <v>1353</v>
      </c>
      <c r="E107" s="10" t="s">
        <v>1038</v>
      </c>
    </row>
    <row r="108" customFormat="false" ht="75" hidden="false" customHeight="true" outlineLevel="0" collapsed="false">
      <c r="A108" s="10" t="s">
        <v>1354</v>
      </c>
      <c r="B108" s="10" t="s">
        <v>1355</v>
      </c>
      <c r="C108" s="10" t="s">
        <v>1036</v>
      </c>
      <c r="D108" s="10" t="s">
        <v>1356</v>
      </c>
      <c r="E108" s="10" t="s">
        <v>1038</v>
      </c>
    </row>
    <row r="109" customFormat="false" ht="75" hidden="false" customHeight="true" outlineLevel="0" collapsed="false">
      <c r="A109" s="10" t="s">
        <v>1357</v>
      </c>
      <c r="B109" s="10" t="s">
        <v>1358</v>
      </c>
      <c r="C109" s="10" t="s">
        <v>1036</v>
      </c>
      <c r="D109" s="10" t="s">
        <v>1359</v>
      </c>
      <c r="E109" s="10" t="s">
        <v>1038</v>
      </c>
    </row>
    <row r="110" customFormat="false" ht="75" hidden="false" customHeight="true" outlineLevel="0" collapsed="false">
      <c r="A110" s="10" t="s">
        <v>1360</v>
      </c>
      <c r="B110" s="10" t="s">
        <v>1361</v>
      </c>
      <c r="C110" s="10" t="s">
        <v>1036</v>
      </c>
      <c r="D110" s="10" t="s">
        <v>1362</v>
      </c>
      <c r="E110" s="10" t="s">
        <v>1038</v>
      </c>
    </row>
    <row r="111" customFormat="false" ht="75" hidden="false" customHeight="true" outlineLevel="0" collapsed="false">
      <c r="A111" s="10" t="s">
        <v>1363</v>
      </c>
      <c r="B111" s="10" t="s">
        <v>1364</v>
      </c>
      <c r="C111" s="10" t="s">
        <v>1036</v>
      </c>
      <c r="D111" s="10" t="s">
        <v>1365</v>
      </c>
      <c r="E111" s="10" t="s">
        <v>1038</v>
      </c>
    </row>
    <row r="112" customFormat="false" ht="75" hidden="false" customHeight="true" outlineLevel="0" collapsed="false">
      <c r="A112" s="10" t="s">
        <v>1366</v>
      </c>
      <c r="B112" s="10" t="s">
        <v>1367</v>
      </c>
      <c r="C112" s="10" t="s">
        <v>1036</v>
      </c>
      <c r="D112" s="10" t="s">
        <v>1368</v>
      </c>
      <c r="E112" s="10" t="s">
        <v>1038</v>
      </c>
    </row>
    <row r="113" customFormat="false" ht="75" hidden="false" customHeight="true" outlineLevel="0" collapsed="false">
      <c r="A113" s="10" t="s">
        <v>1369</v>
      </c>
      <c r="B113" s="10" t="s">
        <v>1370</v>
      </c>
      <c r="C113" s="10" t="s">
        <v>1036</v>
      </c>
      <c r="D113" s="10" t="s">
        <v>1371</v>
      </c>
      <c r="E113" s="10" t="s">
        <v>1038</v>
      </c>
    </row>
    <row r="114" customFormat="false" ht="75" hidden="false" customHeight="true" outlineLevel="0" collapsed="false">
      <c r="A114" s="10" t="s">
        <v>1372</v>
      </c>
      <c r="B114" s="10" t="s">
        <v>1373</v>
      </c>
      <c r="C114" s="10" t="s">
        <v>1036</v>
      </c>
      <c r="D114" s="10" t="s">
        <v>1374</v>
      </c>
      <c r="E114" s="10" t="s">
        <v>1038</v>
      </c>
    </row>
    <row r="115" customFormat="false" ht="75" hidden="false" customHeight="true" outlineLevel="0" collapsed="false">
      <c r="A115" s="10" t="s">
        <v>1375</v>
      </c>
      <c r="B115" s="10" t="s">
        <v>1376</v>
      </c>
      <c r="C115" s="10" t="s">
        <v>1036</v>
      </c>
      <c r="D115" s="10" t="s">
        <v>1377</v>
      </c>
      <c r="E115" s="10" t="s">
        <v>1038</v>
      </c>
    </row>
    <row r="116" customFormat="false" ht="75" hidden="false" customHeight="true" outlineLevel="0" collapsed="false">
      <c r="A116" s="10" t="s">
        <v>1378</v>
      </c>
      <c r="B116" s="10" t="s">
        <v>1379</v>
      </c>
      <c r="C116" s="10" t="s">
        <v>1036</v>
      </c>
      <c r="D116" s="10" t="s">
        <v>1380</v>
      </c>
      <c r="E116" s="10" t="s">
        <v>1038</v>
      </c>
    </row>
    <row r="117" customFormat="false" ht="75" hidden="false" customHeight="true" outlineLevel="0" collapsed="false">
      <c r="A117" s="10" t="s">
        <v>1381</v>
      </c>
      <c r="B117" s="10" t="s">
        <v>1382</v>
      </c>
      <c r="C117" s="10" t="s">
        <v>1036</v>
      </c>
      <c r="D117" s="10" t="s">
        <v>1383</v>
      </c>
      <c r="E117" s="10" t="s">
        <v>1038</v>
      </c>
    </row>
    <row r="118" customFormat="false" ht="75" hidden="false" customHeight="true" outlineLevel="0" collapsed="false">
      <c r="A118" s="10" t="s">
        <v>1384</v>
      </c>
      <c r="B118" s="10" t="s">
        <v>1385</v>
      </c>
      <c r="C118" s="10" t="s">
        <v>1036</v>
      </c>
      <c r="D118" s="10" t="s">
        <v>1386</v>
      </c>
      <c r="E118" s="10" t="s">
        <v>1038</v>
      </c>
    </row>
    <row r="119" customFormat="false" ht="75" hidden="false" customHeight="true" outlineLevel="0" collapsed="false">
      <c r="A119" s="10" t="s">
        <v>1387</v>
      </c>
      <c r="B119" s="10" t="s">
        <v>1388</v>
      </c>
      <c r="C119" s="10" t="s">
        <v>1036</v>
      </c>
      <c r="D119" s="10" t="s">
        <v>1389</v>
      </c>
      <c r="E119" s="10" t="s">
        <v>1038</v>
      </c>
    </row>
    <row r="120" customFormat="false" ht="75" hidden="false" customHeight="true" outlineLevel="0" collapsed="false">
      <c r="A120" s="10" t="s">
        <v>1390</v>
      </c>
      <c r="B120" s="10" t="s">
        <v>1391</v>
      </c>
      <c r="C120" s="10" t="s">
        <v>1036</v>
      </c>
      <c r="D120" s="10" t="s">
        <v>1392</v>
      </c>
      <c r="E120" s="10" t="s">
        <v>1038</v>
      </c>
    </row>
    <row r="121" customFormat="false" ht="75" hidden="false" customHeight="true" outlineLevel="0" collapsed="false">
      <c r="A121" s="10" t="s">
        <v>1393</v>
      </c>
      <c r="B121" s="10" t="s">
        <v>1394</v>
      </c>
      <c r="C121" s="10" t="s">
        <v>1036</v>
      </c>
      <c r="D121" s="10" t="s">
        <v>1395</v>
      </c>
      <c r="E121" s="10" t="s">
        <v>1038</v>
      </c>
    </row>
    <row r="122" customFormat="false" ht="75" hidden="false" customHeight="true" outlineLevel="0" collapsed="false">
      <c r="A122" s="10" t="s">
        <v>1396</v>
      </c>
      <c r="B122" s="10" t="s">
        <v>1397</v>
      </c>
      <c r="C122" s="10" t="s">
        <v>1036</v>
      </c>
      <c r="D122" s="10" t="s">
        <v>1398</v>
      </c>
      <c r="E122" s="10" t="s">
        <v>1038</v>
      </c>
    </row>
    <row r="123" customFormat="false" ht="75" hidden="false" customHeight="true" outlineLevel="0" collapsed="false">
      <c r="A123" s="10" t="s">
        <v>1399</v>
      </c>
      <c r="B123" s="10" t="s">
        <v>1400</v>
      </c>
      <c r="C123" s="10" t="s">
        <v>1036</v>
      </c>
      <c r="D123" s="10" t="s">
        <v>1401</v>
      </c>
      <c r="E123" s="10" t="s">
        <v>1038</v>
      </c>
    </row>
    <row r="124" customFormat="false" ht="75" hidden="false" customHeight="true" outlineLevel="0" collapsed="false">
      <c r="A124" s="10" t="s">
        <v>1402</v>
      </c>
      <c r="B124" s="10" t="s">
        <v>1403</v>
      </c>
      <c r="C124" s="10" t="s">
        <v>1036</v>
      </c>
      <c r="D124" s="10" t="s">
        <v>1404</v>
      </c>
      <c r="E124" s="10" t="s">
        <v>1038</v>
      </c>
    </row>
    <row r="125" customFormat="false" ht="75" hidden="false" customHeight="true" outlineLevel="0" collapsed="false">
      <c r="A125" s="10" t="s">
        <v>1405</v>
      </c>
      <c r="B125" s="10" t="s">
        <v>1406</v>
      </c>
      <c r="C125" s="10" t="s">
        <v>1036</v>
      </c>
      <c r="D125" s="10" t="s">
        <v>1407</v>
      </c>
      <c r="E125" s="10" t="s">
        <v>1038</v>
      </c>
    </row>
    <row r="126" customFormat="false" ht="75" hidden="false" customHeight="true" outlineLevel="0" collapsed="false">
      <c r="A126" s="10" t="s">
        <v>1408</v>
      </c>
      <c r="B126" s="10" t="s">
        <v>1409</v>
      </c>
      <c r="C126" s="10" t="s">
        <v>1036</v>
      </c>
      <c r="D126" s="10" t="s">
        <v>1410</v>
      </c>
      <c r="E126" s="10" t="s">
        <v>1038</v>
      </c>
    </row>
    <row r="127" customFormat="false" ht="75" hidden="false" customHeight="true" outlineLevel="0" collapsed="false">
      <c r="A127" s="10" t="s">
        <v>1411</v>
      </c>
      <c r="B127" s="10" t="s">
        <v>1412</v>
      </c>
      <c r="C127" s="10" t="s">
        <v>1036</v>
      </c>
      <c r="D127" s="10" t="s">
        <v>1413</v>
      </c>
      <c r="E127" s="10" t="s">
        <v>1038</v>
      </c>
    </row>
    <row r="128" customFormat="false" ht="75" hidden="false" customHeight="true" outlineLevel="0" collapsed="false">
      <c r="A128" s="10" t="s">
        <v>1414</v>
      </c>
      <c r="B128" s="10" t="s">
        <v>1415</v>
      </c>
      <c r="C128" s="10" t="s">
        <v>1036</v>
      </c>
      <c r="D128" s="10" t="s">
        <v>1416</v>
      </c>
      <c r="E128" s="10" t="s">
        <v>1038</v>
      </c>
    </row>
    <row r="129" customFormat="false" ht="75" hidden="false" customHeight="true" outlineLevel="0" collapsed="false">
      <c r="A129" s="10" t="s">
        <v>1417</v>
      </c>
      <c r="B129" s="10" t="s">
        <v>1418</v>
      </c>
      <c r="C129" s="10" t="s">
        <v>1036</v>
      </c>
      <c r="D129" s="10" t="s">
        <v>1419</v>
      </c>
      <c r="E129" s="10" t="s">
        <v>1038</v>
      </c>
    </row>
    <row r="130" customFormat="false" ht="75" hidden="false" customHeight="true" outlineLevel="0" collapsed="false">
      <c r="A130" s="10" t="s">
        <v>1420</v>
      </c>
      <c r="B130" s="10" t="s">
        <v>1421</v>
      </c>
      <c r="C130" s="10" t="s">
        <v>1036</v>
      </c>
      <c r="D130" s="10" t="s">
        <v>1422</v>
      </c>
      <c r="E130" s="10" t="s">
        <v>1038</v>
      </c>
    </row>
    <row r="131" customFormat="false" ht="75" hidden="false" customHeight="true" outlineLevel="0" collapsed="false">
      <c r="A131" s="10" t="s">
        <v>1423</v>
      </c>
      <c r="B131" s="10" t="s">
        <v>1424</v>
      </c>
      <c r="C131" s="10" t="s">
        <v>1036</v>
      </c>
      <c r="D131" s="10" t="s">
        <v>1425</v>
      </c>
      <c r="E131" s="10" t="s">
        <v>1038</v>
      </c>
    </row>
    <row r="132" customFormat="false" ht="75" hidden="false" customHeight="true" outlineLevel="0" collapsed="false">
      <c r="A132" s="10" t="s">
        <v>1426</v>
      </c>
      <c r="B132" s="10" t="s">
        <v>1427</v>
      </c>
      <c r="C132" s="10" t="s">
        <v>1036</v>
      </c>
      <c r="D132" s="10" t="s">
        <v>1428</v>
      </c>
      <c r="E132" s="10" t="s">
        <v>1038</v>
      </c>
    </row>
    <row r="133" customFormat="false" ht="75" hidden="false" customHeight="true" outlineLevel="0" collapsed="false">
      <c r="A133" s="10" t="s">
        <v>1429</v>
      </c>
      <c r="B133" s="10" t="s">
        <v>1430</v>
      </c>
      <c r="C133" s="10" t="s">
        <v>1036</v>
      </c>
      <c r="D133" s="10" t="s">
        <v>1431</v>
      </c>
      <c r="E133" s="10" t="s">
        <v>1038</v>
      </c>
    </row>
    <row r="134" customFormat="false" ht="75" hidden="false" customHeight="true" outlineLevel="0" collapsed="false">
      <c r="A134" s="10" t="s">
        <v>1432</v>
      </c>
      <c r="B134" s="10" t="s">
        <v>1433</v>
      </c>
      <c r="C134" s="10" t="s">
        <v>1036</v>
      </c>
      <c r="D134" s="10" t="s">
        <v>1434</v>
      </c>
      <c r="E134" s="10" t="s">
        <v>1038</v>
      </c>
    </row>
    <row r="135" customFormat="false" ht="75" hidden="false" customHeight="true" outlineLevel="0" collapsed="false">
      <c r="A135" s="10" t="s">
        <v>1435</v>
      </c>
      <c r="B135" s="10" t="s">
        <v>1436</v>
      </c>
      <c r="C135" s="10" t="s">
        <v>1036</v>
      </c>
      <c r="D135" s="10" t="s">
        <v>1437</v>
      </c>
      <c r="E135" s="10" t="s">
        <v>1038</v>
      </c>
    </row>
    <row r="136" customFormat="false" ht="75" hidden="false" customHeight="true" outlineLevel="0" collapsed="false">
      <c r="A136" s="10" t="s">
        <v>1438</v>
      </c>
      <c r="B136" s="10" t="s">
        <v>1439</v>
      </c>
      <c r="C136" s="10" t="s">
        <v>1036</v>
      </c>
      <c r="D136" s="10" t="s">
        <v>1440</v>
      </c>
      <c r="E136" s="10" t="s">
        <v>1038</v>
      </c>
    </row>
    <row r="137" customFormat="false" ht="75" hidden="false" customHeight="true" outlineLevel="0" collapsed="false">
      <c r="A137" s="10" t="s">
        <v>1441</v>
      </c>
      <c r="B137" s="10" t="s">
        <v>1442</v>
      </c>
      <c r="C137" s="10" t="s">
        <v>1036</v>
      </c>
      <c r="D137" s="10" t="s">
        <v>1443</v>
      </c>
      <c r="E137" s="10" t="s">
        <v>1038</v>
      </c>
    </row>
    <row r="138" customFormat="false" ht="75" hidden="false" customHeight="true" outlineLevel="0" collapsed="false">
      <c r="A138" s="10" t="s">
        <v>1444</v>
      </c>
      <c r="B138" s="10" t="s">
        <v>1445</v>
      </c>
      <c r="C138" s="10" t="s">
        <v>1036</v>
      </c>
      <c r="D138" s="10" t="s">
        <v>1446</v>
      </c>
      <c r="E138" s="10" t="s">
        <v>1038</v>
      </c>
    </row>
    <row r="139" customFormat="false" ht="75" hidden="false" customHeight="true" outlineLevel="0" collapsed="false">
      <c r="A139" s="10" t="s">
        <v>1447</v>
      </c>
      <c r="B139" s="10" t="s">
        <v>1448</v>
      </c>
      <c r="C139" s="10" t="s">
        <v>1036</v>
      </c>
      <c r="D139" s="10" t="s">
        <v>1449</v>
      </c>
      <c r="E139" s="10" t="s">
        <v>1038</v>
      </c>
    </row>
    <row r="140" customFormat="false" ht="75" hidden="false" customHeight="true" outlineLevel="0" collapsed="false">
      <c r="A140" s="10" t="s">
        <v>1450</v>
      </c>
      <c r="B140" s="10" t="s">
        <v>1451</v>
      </c>
      <c r="C140" s="10" t="s">
        <v>1036</v>
      </c>
      <c r="D140" s="10" t="s">
        <v>1452</v>
      </c>
      <c r="E140" s="10" t="s">
        <v>1038</v>
      </c>
    </row>
    <row r="141" customFormat="false" ht="75" hidden="false" customHeight="true" outlineLevel="0" collapsed="false">
      <c r="A141" s="10" t="s">
        <v>1453</v>
      </c>
      <c r="B141" s="10" t="s">
        <v>1454</v>
      </c>
      <c r="C141" s="10" t="s">
        <v>1036</v>
      </c>
      <c r="D141" s="10" t="s">
        <v>1455</v>
      </c>
      <c r="E141" s="10" t="s">
        <v>1038</v>
      </c>
    </row>
    <row r="142" customFormat="false" ht="75" hidden="false" customHeight="true" outlineLevel="0" collapsed="false">
      <c r="A142" s="10" t="s">
        <v>1456</v>
      </c>
      <c r="B142" s="10" t="s">
        <v>1457</v>
      </c>
      <c r="C142" s="10" t="s">
        <v>1036</v>
      </c>
      <c r="D142" s="10" t="s">
        <v>1458</v>
      </c>
      <c r="E142" s="10" t="s">
        <v>1038</v>
      </c>
    </row>
    <row r="143" customFormat="false" ht="75" hidden="false" customHeight="true" outlineLevel="0" collapsed="false">
      <c r="A143" s="10" t="s">
        <v>1459</v>
      </c>
      <c r="B143" s="10" t="s">
        <v>1460</v>
      </c>
      <c r="C143" s="10" t="s">
        <v>1461</v>
      </c>
      <c r="D143" s="10" t="s">
        <v>1462</v>
      </c>
      <c r="E143" s="10" t="s">
        <v>1463</v>
      </c>
    </row>
    <row r="144" customFormat="false" ht="75" hidden="false" customHeight="true" outlineLevel="0" collapsed="false">
      <c r="A144" s="10" t="s">
        <v>1464</v>
      </c>
      <c r="B144" s="10" t="s">
        <v>1465</v>
      </c>
      <c r="C144" s="10" t="s">
        <v>1461</v>
      </c>
      <c r="D144" s="10" t="s">
        <v>1466</v>
      </c>
      <c r="E144" s="10" t="s">
        <v>1463</v>
      </c>
    </row>
    <row r="145" customFormat="false" ht="75" hidden="false" customHeight="true" outlineLevel="0" collapsed="false">
      <c r="A145" s="10" t="s">
        <v>1467</v>
      </c>
      <c r="B145" s="10" t="s">
        <v>1468</v>
      </c>
      <c r="C145" s="10" t="s">
        <v>1461</v>
      </c>
      <c r="D145" s="10" t="s">
        <v>1469</v>
      </c>
      <c r="E145" s="10" t="s">
        <v>1463</v>
      </c>
    </row>
    <row r="146" customFormat="false" ht="75" hidden="false" customHeight="true" outlineLevel="0" collapsed="false">
      <c r="A146" s="10" t="s">
        <v>1470</v>
      </c>
      <c r="B146" s="10" t="s">
        <v>1471</v>
      </c>
      <c r="C146" s="10" t="s">
        <v>1461</v>
      </c>
      <c r="D146" s="10" t="s">
        <v>1472</v>
      </c>
      <c r="E146" s="10" t="s">
        <v>1463</v>
      </c>
    </row>
    <row r="147" customFormat="false" ht="75" hidden="false" customHeight="true" outlineLevel="0" collapsed="false">
      <c r="A147" s="10" t="s">
        <v>1473</v>
      </c>
      <c r="B147" s="10" t="s">
        <v>1474</v>
      </c>
      <c r="C147" s="10" t="s">
        <v>1461</v>
      </c>
      <c r="D147" s="10" t="s">
        <v>1475</v>
      </c>
      <c r="E147" s="10" t="s">
        <v>1463</v>
      </c>
    </row>
    <row r="148" customFormat="false" ht="75" hidden="false" customHeight="true" outlineLevel="0" collapsed="false">
      <c r="A148" s="10" t="s">
        <v>1476</v>
      </c>
      <c r="B148" s="10" t="s">
        <v>1477</v>
      </c>
      <c r="C148" s="10" t="s">
        <v>1461</v>
      </c>
      <c r="D148" s="10" t="s">
        <v>1478</v>
      </c>
      <c r="E148" s="10" t="s">
        <v>1463</v>
      </c>
    </row>
    <row r="149" customFormat="false" ht="75" hidden="false" customHeight="true" outlineLevel="0" collapsed="false">
      <c r="A149" s="10" t="s">
        <v>1479</v>
      </c>
      <c r="B149" s="10" t="s">
        <v>1480</v>
      </c>
      <c r="C149" s="10" t="s">
        <v>1461</v>
      </c>
      <c r="D149" s="10" t="s">
        <v>1481</v>
      </c>
      <c r="E149" s="10" t="s">
        <v>1463</v>
      </c>
    </row>
    <row r="150" customFormat="false" ht="75" hidden="false" customHeight="true" outlineLevel="0" collapsed="false">
      <c r="A150" s="10" t="s">
        <v>1482</v>
      </c>
      <c r="B150" s="10" t="s">
        <v>1483</v>
      </c>
      <c r="C150" s="10" t="s">
        <v>1461</v>
      </c>
      <c r="D150" s="10" t="s">
        <v>1484</v>
      </c>
      <c r="E150" s="10" t="s">
        <v>1463</v>
      </c>
    </row>
    <row r="151" customFormat="false" ht="75" hidden="false" customHeight="true" outlineLevel="0" collapsed="false">
      <c r="A151" s="10" t="s">
        <v>1485</v>
      </c>
      <c r="B151" s="10" t="s">
        <v>1486</v>
      </c>
      <c r="C151" s="10" t="s">
        <v>1461</v>
      </c>
      <c r="D151" s="10" t="s">
        <v>1487</v>
      </c>
      <c r="E151" s="10" t="s">
        <v>1463</v>
      </c>
    </row>
    <row r="152" customFormat="false" ht="75" hidden="false" customHeight="true" outlineLevel="0" collapsed="false">
      <c r="A152" s="10" t="s">
        <v>1488</v>
      </c>
      <c r="B152" s="10" t="s">
        <v>1489</v>
      </c>
      <c r="C152" s="10" t="s">
        <v>1461</v>
      </c>
      <c r="D152" s="10" t="s">
        <v>1490</v>
      </c>
      <c r="E152" s="10" t="s">
        <v>1463</v>
      </c>
    </row>
    <row r="153" customFormat="false" ht="75" hidden="false" customHeight="true" outlineLevel="0" collapsed="false">
      <c r="A153" s="10" t="s">
        <v>1491</v>
      </c>
      <c r="B153" s="10" t="s">
        <v>1492</v>
      </c>
      <c r="C153" s="10" t="s">
        <v>1461</v>
      </c>
      <c r="D153" s="10" t="s">
        <v>1493</v>
      </c>
      <c r="E153" s="10" t="s">
        <v>1463</v>
      </c>
    </row>
    <row r="154" customFormat="false" ht="75" hidden="false" customHeight="true" outlineLevel="0" collapsed="false">
      <c r="A154" s="10" t="s">
        <v>1494</v>
      </c>
      <c r="B154" s="10" t="s">
        <v>1495</v>
      </c>
      <c r="C154" s="10" t="s">
        <v>1461</v>
      </c>
      <c r="D154" s="10" t="s">
        <v>1496</v>
      </c>
      <c r="E154" s="10" t="s">
        <v>1463</v>
      </c>
    </row>
    <row r="155" customFormat="false" ht="75" hidden="false" customHeight="true" outlineLevel="0" collapsed="false">
      <c r="A155" s="10" t="s">
        <v>1497</v>
      </c>
      <c r="B155" s="10" t="s">
        <v>1498</v>
      </c>
      <c r="C155" s="10" t="s">
        <v>1461</v>
      </c>
      <c r="D155" s="10" t="s">
        <v>1499</v>
      </c>
      <c r="E155" s="10" t="s">
        <v>1463</v>
      </c>
    </row>
    <row r="156" customFormat="false" ht="75" hidden="false" customHeight="true" outlineLevel="0" collapsed="false">
      <c r="A156" s="10" t="s">
        <v>1500</v>
      </c>
      <c r="B156" s="10" t="s">
        <v>1501</v>
      </c>
      <c r="C156" s="10" t="s">
        <v>1461</v>
      </c>
      <c r="D156" s="10" t="s">
        <v>1502</v>
      </c>
      <c r="E156" s="10" t="s">
        <v>1463</v>
      </c>
    </row>
    <row r="157" customFormat="false" ht="75" hidden="false" customHeight="true" outlineLevel="0" collapsed="false">
      <c r="A157" s="10" t="s">
        <v>1503</v>
      </c>
      <c r="B157" s="10" t="s">
        <v>1504</v>
      </c>
      <c r="C157" s="10" t="s">
        <v>1461</v>
      </c>
      <c r="D157" s="10" t="s">
        <v>1505</v>
      </c>
      <c r="E157" s="10" t="s">
        <v>1463</v>
      </c>
    </row>
    <row r="158" customFormat="false" ht="75" hidden="false" customHeight="true" outlineLevel="0" collapsed="false">
      <c r="A158" s="10" t="s">
        <v>1506</v>
      </c>
      <c r="B158" s="10" t="s">
        <v>1507</v>
      </c>
      <c r="C158" s="10" t="s">
        <v>1461</v>
      </c>
      <c r="D158" s="10" t="s">
        <v>1508</v>
      </c>
      <c r="E158" s="10" t="s">
        <v>1463</v>
      </c>
    </row>
    <row r="159" customFormat="false" ht="75" hidden="false" customHeight="true" outlineLevel="0" collapsed="false">
      <c r="A159" s="10" t="s">
        <v>1509</v>
      </c>
      <c r="B159" s="10" t="s">
        <v>1510</v>
      </c>
      <c r="C159" s="10" t="s">
        <v>1461</v>
      </c>
      <c r="D159" s="10" t="s">
        <v>1511</v>
      </c>
      <c r="E159" s="10" t="s">
        <v>1463</v>
      </c>
    </row>
    <row r="160" customFormat="false" ht="75" hidden="false" customHeight="true" outlineLevel="0" collapsed="false">
      <c r="A160" s="10" t="s">
        <v>1512</v>
      </c>
      <c r="B160" s="10" t="s">
        <v>1513</v>
      </c>
      <c r="C160" s="10" t="s">
        <v>1461</v>
      </c>
      <c r="D160" s="10" t="s">
        <v>1514</v>
      </c>
      <c r="E160" s="10" t="s">
        <v>1463</v>
      </c>
    </row>
    <row r="161" customFormat="false" ht="75" hidden="false" customHeight="true" outlineLevel="0" collapsed="false">
      <c r="A161" s="10" t="s">
        <v>1515</v>
      </c>
      <c r="B161" s="10" t="s">
        <v>1516</v>
      </c>
      <c r="C161" s="10" t="s">
        <v>1461</v>
      </c>
      <c r="D161" s="10" t="s">
        <v>1517</v>
      </c>
      <c r="E161" s="10" t="s">
        <v>1463</v>
      </c>
    </row>
    <row r="162" customFormat="false" ht="75" hidden="false" customHeight="true" outlineLevel="0" collapsed="false">
      <c r="A162" s="10" t="s">
        <v>1518</v>
      </c>
      <c r="B162" s="10" t="s">
        <v>1519</v>
      </c>
      <c r="C162" s="10" t="s">
        <v>1461</v>
      </c>
      <c r="D162" s="10" t="s">
        <v>1520</v>
      </c>
      <c r="E162" s="10" t="s">
        <v>1463</v>
      </c>
    </row>
    <row r="163" customFormat="false" ht="75" hidden="false" customHeight="true" outlineLevel="0" collapsed="false">
      <c r="A163" s="10" t="s">
        <v>1521</v>
      </c>
      <c r="B163" s="10" t="s">
        <v>1522</v>
      </c>
      <c r="C163" s="10" t="s">
        <v>1461</v>
      </c>
      <c r="D163" s="10" t="s">
        <v>1523</v>
      </c>
      <c r="E163" s="10" t="s">
        <v>1463</v>
      </c>
    </row>
    <row r="164" customFormat="false" ht="75" hidden="false" customHeight="true" outlineLevel="0" collapsed="false">
      <c r="A164" s="10" t="s">
        <v>1524</v>
      </c>
      <c r="B164" s="10" t="s">
        <v>1525</v>
      </c>
      <c r="C164" s="10" t="s">
        <v>1461</v>
      </c>
      <c r="D164" s="10" t="s">
        <v>1526</v>
      </c>
      <c r="E164" s="10" t="s">
        <v>1463</v>
      </c>
    </row>
    <row r="165" customFormat="false" ht="75" hidden="false" customHeight="true" outlineLevel="0" collapsed="false">
      <c r="A165" s="10" t="s">
        <v>1527</v>
      </c>
      <c r="B165" s="10" t="s">
        <v>1528</v>
      </c>
      <c r="C165" s="10" t="s">
        <v>1461</v>
      </c>
      <c r="D165" s="10" t="s">
        <v>1529</v>
      </c>
      <c r="E165" s="10" t="s">
        <v>1463</v>
      </c>
    </row>
    <row r="166" customFormat="false" ht="75" hidden="false" customHeight="true" outlineLevel="0" collapsed="false">
      <c r="A166" s="10" t="s">
        <v>1530</v>
      </c>
      <c r="B166" s="10" t="s">
        <v>1531</v>
      </c>
      <c r="C166" s="10" t="s">
        <v>1461</v>
      </c>
      <c r="D166" s="10" t="s">
        <v>1532</v>
      </c>
      <c r="E166" s="10" t="s">
        <v>1463</v>
      </c>
    </row>
    <row r="167" customFormat="false" ht="75" hidden="false" customHeight="true" outlineLevel="0" collapsed="false">
      <c r="A167" s="10" t="s">
        <v>1533</v>
      </c>
      <c r="B167" s="10" t="s">
        <v>1534</v>
      </c>
      <c r="C167" s="10" t="s">
        <v>1461</v>
      </c>
      <c r="D167" s="10" t="s">
        <v>1535</v>
      </c>
      <c r="E167" s="10" t="s">
        <v>1463</v>
      </c>
    </row>
    <row r="168" customFormat="false" ht="75" hidden="false" customHeight="true" outlineLevel="0" collapsed="false">
      <c r="A168" s="10" t="s">
        <v>1536</v>
      </c>
      <c r="B168" s="10" t="s">
        <v>1537</v>
      </c>
      <c r="C168" s="10" t="s">
        <v>1461</v>
      </c>
      <c r="D168" s="10" t="s">
        <v>1538</v>
      </c>
      <c r="E168" s="10" t="s">
        <v>1463</v>
      </c>
    </row>
    <row r="169" customFormat="false" ht="75" hidden="false" customHeight="true" outlineLevel="0" collapsed="false">
      <c r="A169" s="10" t="s">
        <v>1539</v>
      </c>
      <c r="B169" s="10" t="s">
        <v>1540</v>
      </c>
      <c r="C169" s="10" t="s">
        <v>1461</v>
      </c>
      <c r="D169" s="10" t="s">
        <v>1541</v>
      </c>
      <c r="E169" s="10" t="s">
        <v>1463</v>
      </c>
    </row>
    <row r="170" customFormat="false" ht="75" hidden="false" customHeight="true" outlineLevel="0" collapsed="false">
      <c r="A170" s="10" t="s">
        <v>1542</v>
      </c>
      <c r="B170" s="10" t="s">
        <v>1543</v>
      </c>
      <c r="C170" s="10" t="s">
        <v>1461</v>
      </c>
      <c r="D170" s="10" t="s">
        <v>1544</v>
      </c>
      <c r="E170" s="10" t="s">
        <v>1463</v>
      </c>
    </row>
    <row r="171" customFormat="false" ht="75" hidden="false" customHeight="true" outlineLevel="0" collapsed="false">
      <c r="A171" s="10" t="s">
        <v>1545</v>
      </c>
      <c r="B171" s="10" t="s">
        <v>1546</v>
      </c>
      <c r="C171" s="10" t="s">
        <v>1461</v>
      </c>
      <c r="D171" s="10" t="s">
        <v>1547</v>
      </c>
      <c r="E171" s="10" t="s">
        <v>1463</v>
      </c>
    </row>
    <row r="172" customFormat="false" ht="75" hidden="false" customHeight="true" outlineLevel="0" collapsed="false">
      <c r="A172" s="10" t="s">
        <v>1548</v>
      </c>
      <c r="B172" s="10" t="s">
        <v>1549</v>
      </c>
      <c r="C172" s="10" t="s">
        <v>1461</v>
      </c>
      <c r="D172" s="10" t="s">
        <v>1550</v>
      </c>
      <c r="E172" s="10" t="s">
        <v>1463</v>
      </c>
    </row>
    <row r="173" customFormat="false" ht="75" hidden="false" customHeight="true" outlineLevel="0" collapsed="false">
      <c r="A173" s="10" t="s">
        <v>1551</v>
      </c>
      <c r="B173" s="10" t="s">
        <v>1552</v>
      </c>
      <c r="C173" s="10" t="s">
        <v>1461</v>
      </c>
      <c r="D173" s="10" t="s">
        <v>1553</v>
      </c>
      <c r="E173" s="10" t="s">
        <v>1463</v>
      </c>
    </row>
    <row r="174" customFormat="false" ht="75" hidden="false" customHeight="true" outlineLevel="0" collapsed="false">
      <c r="A174" s="10" t="s">
        <v>1554</v>
      </c>
      <c r="B174" s="10" t="s">
        <v>1555</v>
      </c>
      <c r="C174" s="10" t="s">
        <v>1461</v>
      </c>
      <c r="D174" s="10" t="s">
        <v>1556</v>
      </c>
      <c r="E174" s="10" t="s">
        <v>1463</v>
      </c>
    </row>
    <row r="175" customFormat="false" ht="75" hidden="false" customHeight="true" outlineLevel="0" collapsed="false">
      <c r="A175" s="10" t="s">
        <v>1557</v>
      </c>
      <c r="B175" s="10" t="s">
        <v>1558</v>
      </c>
      <c r="C175" s="10" t="s">
        <v>1461</v>
      </c>
      <c r="D175" s="10" t="s">
        <v>1559</v>
      </c>
      <c r="E175" s="10" t="s">
        <v>1463</v>
      </c>
    </row>
    <row r="176" customFormat="false" ht="75" hidden="false" customHeight="true" outlineLevel="0" collapsed="false">
      <c r="A176" s="10" t="s">
        <v>1560</v>
      </c>
      <c r="B176" s="10" t="s">
        <v>1561</v>
      </c>
      <c r="C176" s="10" t="s">
        <v>1461</v>
      </c>
      <c r="D176" s="10" t="s">
        <v>1562</v>
      </c>
      <c r="E176" s="10" t="s">
        <v>1463</v>
      </c>
    </row>
    <row r="177" customFormat="false" ht="75" hidden="false" customHeight="true" outlineLevel="0" collapsed="false">
      <c r="A177" s="10" t="s">
        <v>1563</v>
      </c>
      <c r="B177" s="10" t="s">
        <v>1564</v>
      </c>
      <c r="C177" s="10" t="s">
        <v>1461</v>
      </c>
      <c r="D177" s="10" t="s">
        <v>1565</v>
      </c>
      <c r="E177" s="10" t="s">
        <v>1463</v>
      </c>
    </row>
    <row r="178" customFormat="false" ht="75" hidden="false" customHeight="true" outlineLevel="0" collapsed="false">
      <c r="A178" s="10" t="s">
        <v>1566</v>
      </c>
      <c r="B178" s="10" t="s">
        <v>1567</v>
      </c>
      <c r="C178" s="10" t="s">
        <v>1461</v>
      </c>
      <c r="D178" s="10" t="s">
        <v>1568</v>
      </c>
      <c r="E178" s="10" t="s">
        <v>1463</v>
      </c>
    </row>
    <row r="179" customFormat="false" ht="75" hidden="false" customHeight="true" outlineLevel="0" collapsed="false">
      <c r="A179" s="10" t="s">
        <v>1569</v>
      </c>
      <c r="B179" s="10" t="s">
        <v>1570</v>
      </c>
      <c r="C179" s="10" t="s">
        <v>1461</v>
      </c>
      <c r="D179" s="10" t="s">
        <v>1571</v>
      </c>
      <c r="E179" s="10" t="s">
        <v>1463</v>
      </c>
    </row>
    <row r="180" customFormat="false" ht="75" hidden="false" customHeight="true" outlineLevel="0" collapsed="false">
      <c r="A180" s="10" t="s">
        <v>1572</v>
      </c>
      <c r="B180" s="10" t="s">
        <v>1573</v>
      </c>
      <c r="C180" s="10" t="s">
        <v>1461</v>
      </c>
      <c r="D180" s="10" t="s">
        <v>1574</v>
      </c>
      <c r="E180" s="10" t="s">
        <v>1463</v>
      </c>
    </row>
    <row r="181" customFormat="false" ht="75" hidden="false" customHeight="true" outlineLevel="0" collapsed="false">
      <c r="A181" s="10" t="s">
        <v>1575</v>
      </c>
      <c r="B181" s="10" t="s">
        <v>1576</v>
      </c>
      <c r="C181" s="10" t="s">
        <v>1461</v>
      </c>
      <c r="D181" s="10" t="s">
        <v>1577</v>
      </c>
      <c r="E181" s="10" t="s">
        <v>1463</v>
      </c>
    </row>
    <row r="182" customFormat="false" ht="75" hidden="false" customHeight="true" outlineLevel="0" collapsed="false">
      <c r="A182" s="10" t="s">
        <v>1578</v>
      </c>
      <c r="B182" s="10" t="s">
        <v>1579</v>
      </c>
      <c r="C182" s="10" t="s">
        <v>1461</v>
      </c>
      <c r="D182" s="10" t="s">
        <v>1580</v>
      </c>
      <c r="E182" s="10" t="s">
        <v>1463</v>
      </c>
    </row>
    <row r="183" customFormat="false" ht="75" hidden="false" customHeight="true" outlineLevel="0" collapsed="false">
      <c r="A183" s="10" t="s">
        <v>1581</v>
      </c>
      <c r="B183" s="10" t="s">
        <v>1582</v>
      </c>
      <c r="C183" s="10" t="s">
        <v>1461</v>
      </c>
      <c r="D183" s="10" t="s">
        <v>1583</v>
      </c>
      <c r="E183" s="10" t="s">
        <v>1463</v>
      </c>
    </row>
    <row r="184" customFormat="false" ht="75" hidden="false" customHeight="true" outlineLevel="0" collapsed="false">
      <c r="A184" s="10" t="s">
        <v>1584</v>
      </c>
      <c r="B184" s="10" t="s">
        <v>1585</v>
      </c>
      <c r="C184" s="10" t="s">
        <v>1461</v>
      </c>
      <c r="D184" s="10" t="s">
        <v>1586</v>
      </c>
      <c r="E184" s="10" t="s">
        <v>1463</v>
      </c>
    </row>
    <row r="185" customFormat="false" ht="75" hidden="false" customHeight="true" outlineLevel="0" collapsed="false">
      <c r="A185" s="10" t="s">
        <v>1587</v>
      </c>
      <c r="B185" s="10" t="s">
        <v>1588</v>
      </c>
      <c r="C185" s="10" t="s">
        <v>1461</v>
      </c>
      <c r="D185" s="10" t="s">
        <v>1589</v>
      </c>
      <c r="E185" s="10" t="s">
        <v>1463</v>
      </c>
    </row>
    <row r="186" customFormat="false" ht="75" hidden="false" customHeight="true" outlineLevel="0" collapsed="false">
      <c r="A186" s="10" t="s">
        <v>1590</v>
      </c>
      <c r="B186" s="10" t="s">
        <v>1591</v>
      </c>
      <c r="C186" s="10" t="s">
        <v>1461</v>
      </c>
      <c r="D186" s="10" t="s">
        <v>1592</v>
      </c>
      <c r="E186" s="10" t="s">
        <v>1463</v>
      </c>
    </row>
    <row r="187" customFormat="false" ht="75" hidden="false" customHeight="true" outlineLevel="0" collapsed="false">
      <c r="A187" s="10" t="s">
        <v>1593</v>
      </c>
      <c r="B187" s="10" t="s">
        <v>1594</v>
      </c>
      <c r="C187" s="10" t="s">
        <v>1461</v>
      </c>
      <c r="D187" s="10" t="s">
        <v>1547</v>
      </c>
      <c r="E187" s="10" t="s">
        <v>1463</v>
      </c>
    </row>
    <row r="188" customFormat="false" ht="75" hidden="false" customHeight="true" outlineLevel="0" collapsed="false">
      <c r="A188" s="10" t="s">
        <v>1595</v>
      </c>
      <c r="B188" s="10" t="s">
        <v>1596</v>
      </c>
      <c r="C188" s="10" t="s">
        <v>1461</v>
      </c>
      <c r="D188" s="10" t="s">
        <v>1597</v>
      </c>
      <c r="E188" s="10" t="s">
        <v>1463</v>
      </c>
    </row>
    <row r="189" customFormat="false" ht="75" hidden="false" customHeight="true" outlineLevel="0" collapsed="false">
      <c r="A189" s="10" t="s">
        <v>1598</v>
      </c>
      <c r="B189" s="10" t="s">
        <v>1599</v>
      </c>
      <c r="C189" s="10" t="s">
        <v>1461</v>
      </c>
      <c r="D189" s="10" t="s">
        <v>1600</v>
      </c>
      <c r="E189" s="10" t="s">
        <v>1463</v>
      </c>
    </row>
    <row r="190" customFormat="false" ht="75" hidden="false" customHeight="true" outlineLevel="0" collapsed="false">
      <c r="A190" s="10" t="s">
        <v>1601</v>
      </c>
      <c r="B190" s="10" t="s">
        <v>1602</v>
      </c>
      <c r="C190" s="10" t="s">
        <v>1461</v>
      </c>
      <c r="D190" s="10" t="s">
        <v>1603</v>
      </c>
      <c r="E190" s="10" t="s">
        <v>1463</v>
      </c>
    </row>
    <row r="191" customFormat="false" ht="75" hidden="false" customHeight="true" outlineLevel="0" collapsed="false">
      <c r="A191" s="10" t="s">
        <v>1604</v>
      </c>
      <c r="B191" s="10" t="s">
        <v>1605</v>
      </c>
      <c r="C191" s="10" t="s">
        <v>1461</v>
      </c>
      <c r="D191" s="10" t="s">
        <v>1606</v>
      </c>
      <c r="E191" s="10" t="s">
        <v>1463</v>
      </c>
    </row>
    <row r="192" customFormat="false" ht="75" hidden="false" customHeight="true" outlineLevel="0" collapsed="false">
      <c r="A192" s="10" t="s">
        <v>1607</v>
      </c>
      <c r="B192" s="10" t="s">
        <v>1608</v>
      </c>
      <c r="C192" s="10" t="s">
        <v>1461</v>
      </c>
      <c r="D192" s="10" t="s">
        <v>1609</v>
      </c>
      <c r="E192" s="10" t="s">
        <v>1463</v>
      </c>
    </row>
    <row r="193" customFormat="false" ht="75" hidden="false" customHeight="true" outlineLevel="0" collapsed="false">
      <c r="A193" s="10" t="s">
        <v>1610</v>
      </c>
      <c r="B193" s="10" t="s">
        <v>1611</v>
      </c>
      <c r="C193" s="10" t="s">
        <v>1461</v>
      </c>
      <c r="D193" s="10" t="s">
        <v>1612</v>
      </c>
      <c r="E193" s="10" t="s">
        <v>1463</v>
      </c>
    </row>
    <row r="194" customFormat="false" ht="75" hidden="false" customHeight="true" outlineLevel="0" collapsed="false">
      <c r="A194" s="10" t="s">
        <v>1613</v>
      </c>
      <c r="B194" s="10" t="s">
        <v>1614</v>
      </c>
      <c r="C194" s="10" t="s">
        <v>1461</v>
      </c>
      <c r="D194" s="10" t="s">
        <v>1615</v>
      </c>
      <c r="E194" s="10" t="s">
        <v>1463</v>
      </c>
    </row>
    <row r="195" customFormat="false" ht="75" hidden="false" customHeight="true" outlineLevel="0" collapsed="false">
      <c r="A195" s="10" t="s">
        <v>1616</v>
      </c>
      <c r="B195" s="10" t="s">
        <v>1617</v>
      </c>
      <c r="C195" s="10" t="s">
        <v>1461</v>
      </c>
      <c r="D195" s="10" t="s">
        <v>1618</v>
      </c>
      <c r="E195" s="10" t="s">
        <v>1463</v>
      </c>
    </row>
    <row r="196" customFormat="false" ht="75" hidden="false" customHeight="true" outlineLevel="0" collapsed="false">
      <c r="A196" s="10" t="s">
        <v>1619</v>
      </c>
      <c r="B196" s="10" t="s">
        <v>1620</v>
      </c>
      <c r="C196" s="10" t="s">
        <v>1461</v>
      </c>
      <c r="D196" s="10" t="s">
        <v>1621</v>
      </c>
      <c r="E196" s="10" t="s">
        <v>1463</v>
      </c>
    </row>
    <row r="197" customFormat="false" ht="75" hidden="false" customHeight="true" outlineLevel="0" collapsed="false">
      <c r="A197" s="10" t="s">
        <v>1622</v>
      </c>
      <c r="B197" s="10" t="s">
        <v>1623</v>
      </c>
      <c r="C197" s="10" t="s">
        <v>1461</v>
      </c>
      <c r="D197" s="10" t="s">
        <v>1624</v>
      </c>
      <c r="E197" s="10" t="s">
        <v>1463</v>
      </c>
    </row>
    <row r="198" customFormat="false" ht="75" hidden="false" customHeight="true" outlineLevel="0" collapsed="false">
      <c r="A198" s="10" t="s">
        <v>1625</v>
      </c>
      <c r="B198" s="10" t="s">
        <v>1626</v>
      </c>
      <c r="C198" s="10" t="s">
        <v>1461</v>
      </c>
      <c r="D198" s="10" t="s">
        <v>1627</v>
      </c>
      <c r="E198" s="10" t="s">
        <v>1463</v>
      </c>
    </row>
    <row r="199" customFormat="false" ht="75" hidden="false" customHeight="true" outlineLevel="0" collapsed="false">
      <c r="A199" s="10" t="s">
        <v>1628</v>
      </c>
      <c r="B199" s="10" t="s">
        <v>1629</v>
      </c>
      <c r="C199" s="10" t="s">
        <v>1461</v>
      </c>
      <c r="D199" s="10" t="s">
        <v>1630</v>
      </c>
      <c r="E199" s="10" t="s">
        <v>1463</v>
      </c>
    </row>
    <row r="200" customFormat="false" ht="75" hidden="false" customHeight="true" outlineLevel="0" collapsed="false">
      <c r="A200" s="10" t="s">
        <v>1631</v>
      </c>
      <c r="B200" s="10" t="s">
        <v>1632</v>
      </c>
      <c r="C200" s="10" t="s">
        <v>1461</v>
      </c>
      <c r="D200" s="10" t="s">
        <v>1633</v>
      </c>
      <c r="E200" s="10" t="s">
        <v>1463</v>
      </c>
    </row>
    <row r="201" customFormat="false" ht="75" hidden="false" customHeight="true" outlineLevel="0" collapsed="false">
      <c r="A201" s="10" t="s">
        <v>1634</v>
      </c>
      <c r="B201" s="10" t="s">
        <v>1635</v>
      </c>
      <c r="C201" s="10" t="s">
        <v>1461</v>
      </c>
      <c r="D201" s="10" t="s">
        <v>1636</v>
      </c>
      <c r="E201" s="10" t="s">
        <v>1463</v>
      </c>
    </row>
    <row r="202" customFormat="false" ht="75" hidden="false" customHeight="true" outlineLevel="0" collapsed="false">
      <c r="A202" s="10" t="s">
        <v>1637</v>
      </c>
      <c r="B202" s="10" t="s">
        <v>1638</v>
      </c>
      <c r="C202" s="10" t="s">
        <v>1461</v>
      </c>
      <c r="D202" s="10" t="s">
        <v>1514</v>
      </c>
      <c r="E202" s="10" t="s">
        <v>1463</v>
      </c>
    </row>
    <row r="203" customFormat="false" ht="75" hidden="false" customHeight="true" outlineLevel="0" collapsed="false">
      <c r="A203" s="10" t="s">
        <v>1639</v>
      </c>
      <c r="B203" s="10" t="s">
        <v>1640</v>
      </c>
      <c r="C203" s="10" t="s">
        <v>1461</v>
      </c>
      <c r="D203" s="10" t="s">
        <v>1641</v>
      </c>
      <c r="E203" s="10" t="s">
        <v>1463</v>
      </c>
    </row>
    <row r="204" customFormat="false" ht="75" hidden="false" customHeight="true" outlineLevel="0" collapsed="false">
      <c r="A204" s="10" t="s">
        <v>1642</v>
      </c>
      <c r="B204" s="10" t="s">
        <v>1643</v>
      </c>
      <c r="C204" s="10" t="s">
        <v>1461</v>
      </c>
      <c r="D204" s="10" t="s">
        <v>1644</v>
      </c>
      <c r="E204" s="10" t="s">
        <v>1463</v>
      </c>
    </row>
    <row r="205" customFormat="false" ht="75" hidden="false" customHeight="true" outlineLevel="0" collapsed="false">
      <c r="A205" s="10" t="s">
        <v>1645</v>
      </c>
      <c r="B205" s="10" t="s">
        <v>1646</v>
      </c>
      <c r="C205" s="10" t="s">
        <v>1461</v>
      </c>
      <c r="D205" s="10" t="s">
        <v>1647</v>
      </c>
      <c r="E205" s="10" t="s">
        <v>1463</v>
      </c>
    </row>
    <row r="206" customFormat="false" ht="75" hidden="false" customHeight="true" outlineLevel="0" collapsed="false">
      <c r="A206" s="10" t="s">
        <v>1648</v>
      </c>
      <c r="B206" s="10" t="s">
        <v>1649</v>
      </c>
      <c r="C206" s="10" t="s">
        <v>1461</v>
      </c>
      <c r="D206" s="10" t="s">
        <v>1650</v>
      </c>
      <c r="E206" s="10" t="s">
        <v>1463</v>
      </c>
    </row>
    <row r="207" customFormat="false" ht="75" hidden="false" customHeight="true" outlineLevel="0" collapsed="false">
      <c r="A207" s="10" t="s">
        <v>1651</v>
      </c>
      <c r="B207" s="10" t="s">
        <v>1652</v>
      </c>
      <c r="C207" s="10" t="s">
        <v>1461</v>
      </c>
      <c r="D207" s="10" t="s">
        <v>1653</v>
      </c>
      <c r="E207" s="10" t="s">
        <v>1463</v>
      </c>
    </row>
    <row r="208" customFormat="false" ht="75" hidden="false" customHeight="true" outlineLevel="0" collapsed="false">
      <c r="A208" s="10" t="s">
        <v>1654</v>
      </c>
      <c r="B208" s="10" t="s">
        <v>1655</v>
      </c>
      <c r="C208" s="10" t="s">
        <v>1461</v>
      </c>
      <c r="D208" s="10" t="s">
        <v>1656</v>
      </c>
      <c r="E208" s="10" t="s">
        <v>1463</v>
      </c>
    </row>
    <row r="209" customFormat="false" ht="75" hidden="false" customHeight="true" outlineLevel="0" collapsed="false">
      <c r="A209" s="10" t="s">
        <v>1657</v>
      </c>
      <c r="B209" s="10" t="s">
        <v>1658</v>
      </c>
      <c r="C209" s="10" t="s">
        <v>1461</v>
      </c>
      <c r="D209" s="10" t="s">
        <v>1659</v>
      </c>
      <c r="E209" s="10" t="s">
        <v>1463</v>
      </c>
    </row>
    <row r="210" customFormat="false" ht="75" hidden="false" customHeight="true" outlineLevel="0" collapsed="false">
      <c r="A210" s="10" t="s">
        <v>1660</v>
      </c>
      <c r="B210" s="10" t="s">
        <v>1661</v>
      </c>
      <c r="C210" s="10" t="s">
        <v>1461</v>
      </c>
      <c r="D210" s="10" t="s">
        <v>1662</v>
      </c>
      <c r="E210" s="10" t="s">
        <v>1463</v>
      </c>
    </row>
    <row r="211" customFormat="false" ht="75" hidden="false" customHeight="true" outlineLevel="0" collapsed="false">
      <c r="A211" s="10" t="s">
        <v>1663</v>
      </c>
      <c r="B211" s="10" t="s">
        <v>1664</v>
      </c>
      <c r="C211" s="10" t="s">
        <v>1461</v>
      </c>
      <c r="D211" s="10" t="s">
        <v>1665</v>
      </c>
      <c r="E211" s="10" t="s">
        <v>1463</v>
      </c>
    </row>
    <row r="212" customFormat="false" ht="75" hidden="false" customHeight="true" outlineLevel="0" collapsed="false">
      <c r="A212" s="10" t="s">
        <v>1666</v>
      </c>
      <c r="B212" s="10" t="s">
        <v>1667</v>
      </c>
      <c r="C212" s="10" t="s">
        <v>1461</v>
      </c>
      <c r="D212" s="10" t="s">
        <v>1668</v>
      </c>
      <c r="E212" s="10" t="s">
        <v>1463</v>
      </c>
    </row>
    <row r="213" customFormat="false" ht="75" hidden="false" customHeight="true" outlineLevel="0" collapsed="false">
      <c r="A213" s="10" t="s">
        <v>1669</v>
      </c>
      <c r="B213" s="10" t="s">
        <v>1670</v>
      </c>
      <c r="C213" s="10" t="s">
        <v>1461</v>
      </c>
      <c r="D213" s="10" t="s">
        <v>1662</v>
      </c>
      <c r="E213" s="10" t="s">
        <v>1463</v>
      </c>
    </row>
    <row r="214" customFormat="false" ht="75" hidden="false" customHeight="true" outlineLevel="0" collapsed="false">
      <c r="A214" s="10" t="s">
        <v>1671</v>
      </c>
      <c r="B214" s="10" t="s">
        <v>1672</v>
      </c>
      <c r="C214" s="10" t="s">
        <v>1461</v>
      </c>
      <c r="D214" s="10" t="s">
        <v>1673</v>
      </c>
      <c r="E214" s="10" t="s">
        <v>1463</v>
      </c>
    </row>
    <row r="215" customFormat="false" ht="75" hidden="false" customHeight="true" outlineLevel="0" collapsed="false">
      <c r="A215" s="10" t="s">
        <v>1674</v>
      </c>
      <c r="B215" s="10" t="s">
        <v>1675</v>
      </c>
      <c r="C215" s="10" t="s">
        <v>1461</v>
      </c>
      <c r="D215" s="10" t="s">
        <v>1676</v>
      </c>
      <c r="E215" s="10" t="s">
        <v>1463</v>
      </c>
    </row>
    <row r="216" customFormat="false" ht="75" hidden="false" customHeight="true" outlineLevel="0" collapsed="false">
      <c r="A216" s="10" t="s">
        <v>1677</v>
      </c>
      <c r="B216" s="10" t="s">
        <v>1678</v>
      </c>
      <c r="C216" s="10" t="s">
        <v>1461</v>
      </c>
      <c r="D216" s="10" t="s">
        <v>1679</v>
      </c>
      <c r="E216" s="10" t="s">
        <v>1463</v>
      </c>
    </row>
    <row r="217" customFormat="false" ht="75" hidden="false" customHeight="true" outlineLevel="0" collapsed="false">
      <c r="A217" s="10" t="s">
        <v>1680</v>
      </c>
      <c r="B217" s="10" t="s">
        <v>1681</v>
      </c>
      <c r="C217" s="10" t="s">
        <v>1461</v>
      </c>
      <c r="D217" s="10" t="s">
        <v>1682</v>
      </c>
      <c r="E217" s="10" t="s">
        <v>1463</v>
      </c>
    </row>
    <row r="218" customFormat="false" ht="75" hidden="false" customHeight="true" outlineLevel="0" collapsed="false">
      <c r="A218" s="10" t="s">
        <v>1683</v>
      </c>
      <c r="B218" s="10" t="s">
        <v>1684</v>
      </c>
      <c r="C218" s="10" t="s">
        <v>1461</v>
      </c>
      <c r="D218" s="10" t="s">
        <v>1685</v>
      </c>
      <c r="E218" s="10" t="s">
        <v>1463</v>
      </c>
    </row>
    <row r="219" customFormat="false" ht="75" hidden="false" customHeight="true" outlineLevel="0" collapsed="false">
      <c r="A219" s="10" t="s">
        <v>1686</v>
      </c>
      <c r="B219" s="10" t="s">
        <v>1687</v>
      </c>
      <c r="C219" s="10" t="s">
        <v>1461</v>
      </c>
      <c r="D219" s="10" t="s">
        <v>1606</v>
      </c>
      <c r="E219" s="10" t="s">
        <v>1463</v>
      </c>
    </row>
    <row r="220" customFormat="false" ht="75" hidden="false" customHeight="true" outlineLevel="0" collapsed="false">
      <c r="A220" s="10" t="s">
        <v>1688</v>
      </c>
      <c r="B220" s="10" t="s">
        <v>1689</v>
      </c>
      <c r="C220" s="10" t="s">
        <v>1461</v>
      </c>
      <c r="D220" s="10" t="s">
        <v>1690</v>
      </c>
      <c r="E220" s="10" t="s">
        <v>1463</v>
      </c>
    </row>
    <row r="221" customFormat="false" ht="75" hidden="false" customHeight="true" outlineLevel="0" collapsed="false">
      <c r="A221" s="10" t="s">
        <v>1691</v>
      </c>
      <c r="B221" s="10" t="s">
        <v>1692</v>
      </c>
      <c r="C221" s="10" t="s">
        <v>1461</v>
      </c>
      <c r="D221" s="10" t="s">
        <v>1693</v>
      </c>
      <c r="E221" s="10" t="s">
        <v>1463</v>
      </c>
    </row>
    <row r="222" customFormat="false" ht="75" hidden="false" customHeight="true" outlineLevel="0" collapsed="false">
      <c r="A222" s="10" t="s">
        <v>1694</v>
      </c>
      <c r="B222" s="10" t="s">
        <v>1695</v>
      </c>
      <c r="C222" s="10" t="s">
        <v>1461</v>
      </c>
      <c r="D222" s="10" t="s">
        <v>1696</v>
      </c>
      <c r="E222" s="10" t="s">
        <v>1463</v>
      </c>
    </row>
    <row r="223" customFormat="false" ht="75" hidden="false" customHeight="true" outlineLevel="0" collapsed="false">
      <c r="A223" s="10" t="s">
        <v>1697</v>
      </c>
      <c r="B223" s="10" t="s">
        <v>1698</v>
      </c>
      <c r="C223" s="10" t="s">
        <v>1461</v>
      </c>
      <c r="D223" s="10" t="s">
        <v>1699</v>
      </c>
      <c r="E223" s="10" t="s">
        <v>1463</v>
      </c>
    </row>
    <row r="224" customFormat="false" ht="75" hidden="false" customHeight="true" outlineLevel="0" collapsed="false">
      <c r="A224" s="10" t="s">
        <v>1700</v>
      </c>
      <c r="B224" s="10" t="s">
        <v>1701</v>
      </c>
      <c r="C224" s="10" t="s">
        <v>1461</v>
      </c>
      <c r="D224" s="10" t="s">
        <v>1702</v>
      </c>
      <c r="E224" s="10" t="s">
        <v>1463</v>
      </c>
    </row>
    <row r="225" customFormat="false" ht="75" hidden="false" customHeight="true" outlineLevel="0" collapsed="false">
      <c r="A225" s="10" t="s">
        <v>1703</v>
      </c>
      <c r="B225" s="10" t="s">
        <v>1704</v>
      </c>
      <c r="C225" s="10" t="s">
        <v>1461</v>
      </c>
      <c r="D225" s="10" t="s">
        <v>1705</v>
      </c>
      <c r="E225" s="10" t="s">
        <v>1463</v>
      </c>
    </row>
    <row r="226" customFormat="false" ht="75" hidden="false" customHeight="true" outlineLevel="0" collapsed="false">
      <c r="A226" s="10" t="s">
        <v>1706</v>
      </c>
      <c r="B226" s="10" t="s">
        <v>1707</v>
      </c>
      <c r="C226" s="10" t="s">
        <v>1461</v>
      </c>
      <c r="D226" s="10" t="s">
        <v>1708</v>
      </c>
      <c r="E226" s="10" t="s">
        <v>1463</v>
      </c>
    </row>
    <row r="227" customFormat="false" ht="75" hidden="false" customHeight="true" outlineLevel="0" collapsed="false">
      <c r="A227" s="10" t="s">
        <v>1709</v>
      </c>
      <c r="B227" s="10" t="s">
        <v>1710</v>
      </c>
      <c r="C227" s="10" t="s">
        <v>1461</v>
      </c>
      <c r="D227" s="10" t="s">
        <v>1711</v>
      </c>
      <c r="E227" s="10" t="s">
        <v>1463</v>
      </c>
    </row>
    <row r="228" customFormat="false" ht="75" hidden="false" customHeight="true" outlineLevel="0" collapsed="false">
      <c r="A228" s="10" t="s">
        <v>1712</v>
      </c>
      <c r="B228" s="10" t="s">
        <v>1713</v>
      </c>
      <c r="C228" s="10" t="s">
        <v>1461</v>
      </c>
      <c r="D228" s="10" t="s">
        <v>1714</v>
      </c>
      <c r="E228" s="10" t="s">
        <v>1463</v>
      </c>
    </row>
    <row r="229" customFormat="false" ht="75" hidden="false" customHeight="true" outlineLevel="0" collapsed="false">
      <c r="A229" s="10" t="s">
        <v>1715</v>
      </c>
      <c r="B229" s="10" t="s">
        <v>1716</v>
      </c>
      <c r="C229" s="10" t="s">
        <v>1461</v>
      </c>
      <c r="D229" s="10" t="s">
        <v>1717</v>
      </c>
      <c r="E229" s="10" t="s">
        <v>1463</v>
      </c>
    </row>
    <row r="230" customFormat="false" ht="75" hidden="false" customHeight="true" outlineLevel="0" collapsed="false">
      <c r="A230" s="10" t="s">
        <v>1718</v>
      </c>
      <c r="B230" s="10" t="s">
        <v>1719</v>
      </c>
      <c r="C230" s="10" t="s">
        <v>1461</v>
      </c>
      <c r="D230" s="10" t="s">
        <v>1720</v>
      </c>
      <c r="E230" s="10" t="s">
        <v>1463</v>
      </c>
    </row>
    <row r="231" customFormat="false" ht="75" hidden="false" customHeight="true" outlineLevel="0" collapsed="false">
      <c r="A231" s="10" t="s">
        <v>1721</v>
      </c>
      <c r="B231" s="10" t="s">
        <v>1722</v>
      </c>
      <c r="C231" s="10" t="s">
        <v>1461</v>
      </c>
      <c r="D231" s="10" t="s">
        <v>1723</v>
      </c>
      <c r="E231" s="10" t="s">
        <v>1463</v>
      </c>
    </row>
    <row r="232" customFormat="false" ht="75" hidden="false" customHeight="true" outlineLevel="0" collapsed="false">
      <c r="A232" s="10" t="s">
        <v>1724</v>
      </c>
      <c r="B232" s="10" t="s">
        <v>1725</v>
      </c>
      <c r="C232" s="10" t="s">
        <v>1461</v>
      </c>
      <c r="D232" s="10" t="s">
        <v>1726</v>
      </c>
      <c r="E232" s="10" t="s">
        <v>1463</v>
      </c>
    </row>
    <row r="233" customFormat="false" ht="75" hidden="false" customHeight="true" outlineLevel="0" collapsed="false">
      <c r="A233" s="10" t="s">
        <v>1727</v>
      </c>
      <c r="B233" s="10" t="s">
        <v>1728</v>
      </c>
      <c r="C233" s="10" t="s">
        <v>1461</v>
      </c>
      <c r="D233" s="10" t="s">
        <v>1729</v>
      </c>
      <c r="E233" s="10" t="s">
        <v>1463</v>
      </c>
    </row>
    <row r="234" customFormat="false" ht="75" hidden="false" customHeight="true" outlineLevel="0" collapsed="false">
      <c r="A234" s="10" t="s">
        <v>1730</v>
      </c>
      <c r="B234" s="10" t="s">
        <v>1731</v>
      </c>
      <c r="C234" s="10" t="s">
        <v>1461</v>
      </c>
      <c r="D234" s="10" t="s">
        <v>1732</v>
      </c>
      <c r="E234" s="10" t="s">
        <v>1463</v>
      </c>
    </row>
    <row r="235" customFormat="false" ht="75" hidden="false" customHeight="true" outlineLevel="0" collapsed="false">
      <c r="A235" s="10" t="s">
        <v>1733</v>
      </c>
      <c r="B235" s="10" t="s">
        <v>1734</v>
      </c>
      <c r="C235" s="10" t="s">
        <v>1461</v>
      </c>
      <c r="D235" s="10" t="s">
        <v>1735</v>
      </c>
      <c r="E235" s="10" t="s">
        <v>1463</v>
      </c>
    </row>
    <row r="236" customFormat="false" ht="75" hidden="false" customHeight="true" outlineLevel="0" collapsed="false">
      <c r="A236" s="10" t="s">
        <v>1736</v>
      </c>
      <c r="B236" s="10" t="s">
        <v>1737</v>
      </c>
      <c r="C236" s="10" t="s">
        <v>1461</v>
      </c>
      <c r="D236" s="10" t="s">
        <v>1738</v>
      </c>
      <c r="E236" s="10" t="s">
        <v>1463</v>
      </c>
    </row>
    <row r="237" customFormat="false" ht="75" hidden="false" customHeight="true" outlineLevel="0" collapsed="false">
      <c r="A237" s="10" t="s">
        <v>1739</v>
      </c>
      <c r="B237" s="10" t="s">
        <v>1740</v>
      </c>
      <c r="C237" s="10" t="s">
        <v>1461</v>
      </c>
      <c r="D237" s="10" t="s">
        <v>1741</v>
      </c>
      <c r="E237" s="10" t="s">
        <v>1463</v>
      </c>
    </row>
    <row r="238" customFormat="false" ht="75" hidden="false" customHeight="true" outlineLevel="0" collapsed="false">
      <c r="A238" s="10" t="s">
        <v>1742</v>
      </c>
      <c r="B238" s="10" t="s">
        <v>1743</v>
      </c>
      <c r="C238" s="10" t="s">
        <v>1461</v>
      </c>
      <c r="D238" s="10" t="s">
        <v>1744</v>
      </c>
      <c r="E238" s="10" t="s">
        <v>1463</v>
      </c>
    </row>
    <row r="239" customFormat="false" ht="75" hidden="false" customHeight="true" outlineLevel="0" collapsed="false">
      <c r="A239" s="10" t="s">
        <v>1745</v>
      </c>
      <c r="B239" s="10" t="s">
        <v>1746</v>
      </c>
      <c r="C239" s="10" t="s">
        <v>1461</v>
      </c>
      <c r="D239" s="10" t="s">
        <v>1747</v>
      </c>
      <c r="E239" s="10" t="s">
        <v>1463</v>
      </c>
    </row>
    <row r="240" customFormat="false" ht="75" hidden="false" customHeight="true" outlineLevel="0" collapsed="false">
      <c r="A240" s="10" t="s">
        <v>1748</v>
      </c>
      <c r="B240" s="10" t="s">
        <v>1749</v>
      </c>
      <c r="C240" s="10" t="s">
        <v>1461</v>
      </c>
      <c r="D240" s="10" t="s">
        <v>1750</v>
      </c>
      <c r="E240" s="10" t="s">
        <v>1463</v>
      </c>
    </row>
    <row r="241" customFormat="false" ht="75" hidden="false" customHeight="true" outlineLevel="0" collapsed="false">
      <c r="A241" s="10" t="s">
        <v>1751</v>
      </c>
      <c r="B241" s="10" t="s">
        <v>1752</v>
      </c>
      <c r="C241" s="10" t="s">
        <v>1461</v>
      </c>
      <c r="D241" s="10" t="s">
        <v>1583</v>
      </c>
      <c r="E241" s="10" t="s">
        <v>1463</v>
      </c>
    </row>
    <row r="242" customFormat="false" ht="75" hidden="false" customHeight="true" outlineLevel="0" collapsed="false">
      <c r="A242" s="10" t="s">
        <v>1753</v>
      </c>
      <c r="B242" s="10" t="s">
        <v>1754</v>
      </c>
      <c r="C242" s="10" t="s">
        <v>1461</v>
      </c>
      <c r="D242" s="10" t="s">
        <v>1755</v>
      </c>
      <c r="E242" s="10" t="s">
        <v>1463</v>
      </c>
    </row>
    <row r="243" customFormat="false" ht="75" hidden="false" customHeight="true" outlineLevel="0" collapsed="false">
      <c r="A243" s="10" t="s">
        <v>1756</v>
      </c>
      <c r="B243" s="10" t="s">
        <v>1757</v>
      </c>
      <c r="C243" s="10" t="s">
        <v>1461</v>
      </c>
      <c r="D243" s="10" t="s">
        <v>1758</v>
      </c>
      <c r="E243" s="10" t="s">
        <v>1463</v>
      </c>
    </row>
    <row r="244" customFormat="false" ht="75" hidden="false" customHeight="true" outlineLevel="0" collapsed="false">
      <c r="A244" s="10" t="s">
        <v>1759</v>
      </c>
      <c r="B244" s="10" t="s">
        <v>1760</v>
      </c>
      <c r="C244" s="10" t="s">
        <v>1461</v>
      </c>
      <c r="D244" s="10" t="s">
        <v>1758</v>
      </c>
      <c r="E244" s="10" t="s">
        <v>1463</v>
      </c>
    </row>
    <row r="245" customFormat="false" ht="75" hidden="false" customHeight="true" outlineLevel="0" collapsed="false">
      <c r="A245" s="10" t="s">
        <v>1761</v>
      </c>
      <c r="B245" s="10" t="s">
        <v>1762</v>
      </c>
      <c r="C245" s="10" t="s">
        <v>1461</v>
      </c>
      <c r="D245" s="10" t="s">
        <v>1763</v>
      </c>
      <c r="E245" s="10" t="s">
        <v>1463</v>
      </c>
    </row>
    <row r="246" customFormat="false" ht="75" hidden="false" customHeight="true" outlineLevel="0" collapsed="false">
      <c r="A246" s="10" t="s">
        <v>1764</v>
      </c>
      <c r="B246" s="10" t="s">
        <v>1765</v>
      </c>
      <c r="C246" s="10" t="s">
        <v>1461</v>
      </c>
      <c r="D246" s="10" t="s">
        <v>1766</v>
      </c>
      <c r="E246" s="10" t="s">
        <v>1463</v>
      </c>
    </row>
    <row r="247" customFormat="false" ht="75" hidden="false" customHeight="true" outlineLevel="0" collapsed="false">
      <c r="A247" s="10" t="s">
        <v>1767</v>
      </c>
      <c r="B247" s="10" t="s">
        <v>1768</v>
      </c>
      <c r="C247" s="10" t="s">
        <v>1461</v>
      </c>
      <c r="D247" s="10" t="s">
        <v>1769</v>
      </c>
      <c r="E247" s="10" t="s">
        <v>1463</v>
      </c>
    </row>
    <row r="248" customFormat="false" ht="75" hidden="false" customHeight="true" outlineLevel="0" collapsed="false">
      <c r="A248" s="10" t="s">
        <v>1770</v>
      </c>
      <c r="B248" s="10" t="s">
        <v>1771</v>
      </c>
      <c r="C248" s="10" t="s">
        <v>1461</v>
      </c>
      <c r="D248" s="10" t="s">
        <v>1772</v>
      </c>
      <c r="E248" s="10" t="s">
        <v>1463</v>
      </c>
    </row>
    <row r="249" customFormat="false" ht="75" hidden="false" customHeight="true" outlineLevel="0" collapsed="false">
      <c r="A249" s="10" t="s">
        <v>1773</v>
      </c>
      <c r="B249" s="10" t="s">
        <v>1774</v>
      </c>
      <c r="C249" s="10" t="s">
        <v>1461</v>
      </c>
      <c r="D249" s="10" t="s">
        <v>1775</v>
      </c>
      <c r="E249" s="10" t="s">
        <v>1463</v>
      </c>
    </row>
    <row r="250" customFormat="false" ht="75" hidden="false" customHeight="true" outlineLevel="0" collapsed="false">
      <c r="A250" s="10" t="s">
        <v>1776</v>
      </c>
      <c r="B250" s="10" t="s">
        <v>1777</v>
      </c>
      <c r="C250" s="10" t="s">
        <v>1461</v>
      </c>
      <c r="D250" s="10" t="s">
        <v>1778</v>
      </c>
      <c r="E250" s="10" t="s">
        <v>1463</v>
      </c>
    </row>
    <row r="251" customFormat="false" ht="75" hidden="false" customHeight="true" outlineLevel="0" collapsed="false">
      <c r="A251" s="10" t="s">
        <v>1779</v>
      </c>
      <c r="B251" s="10" t="s">
        <v>1780</v>
      </c>
      <c r="C251" s="10" t="s">
        <v>1461</v>
      </c>
      <c r="D251" s="10" t="s">
        <v>1781</v>
      </c>
      <c r="E251" s="10" t="s">
        <v>1463</v>
      </c>
    </row>
    <row r="252" customFormat="false" ht="75" hidden="false" customHeight="true" outlineLevel="0" collapsed="false">
      <c r="A252" s="10" t="s">
        <v>1782</v>
      </c>
      <c r="B252" s="10" t="s">
        <v>1783</v>
      </c>
      <c r="C252" s="10" t="s">
        <v>1461</v>
      </c>
      <c r="D252" s="10" t="s">
        <v>1784</v>
      </c>
      <c r="E252" s="10" t="s">
        <v>1463</v>
      </c>
    </row>
    <row r="253" customFormat="false" ht="75" hidden="false" customHeight="true" outlineLevel="0" collapsed="false">
      <c r="A253" s="10" t="s">
        <v>1785</v>
      </c>
      <c r="B253" s="10" t="s">
        <v>1786</v>
      </c>
      <c r="C253" s="10" t="s">
        <v>1461</v>
      </c>
      <c r="D253" s="10" t="s">
        <v>1787</v>
      </c>
      <c r="E253" s="10" t="s">
        <v>1463</v>
      </c>
    </row>
    <row r="254" customFormat="false" ht="75" hidden="false" customHeight="true" outlineLevel="0" collapsed="false">
      <c r="A254" s="10" t="s">
        <v>1788</v>
      </c>
      <c r="B254" s="10" t="s">
        <v>1789</v>
      </c>
      <c r="C254" s="10" t="s">
        <v>1461</v>
      </c>
      <c r="D254" s="10" t="s">
        <v>1790</v>
      </c>
      <c r="E254" s="10" t="s">
        <v>1463</v>
      </c>
    </row>
    <row r="255" customFormat="false" ht="75" hidden="false" customHeight="true" outlineLevel="0" collapsed="false">
      <c r="A255" s="10" t="s">
        <v>1791</v>
      </c>
      <c r="B255" s="10" t="s">
        <v>1792</v>
      </c>
      <c r="C255" s="10" t="s">
        <v>1461</v>
      </c>
      <c r="D255" s="10" t="s">
        <v>1793</v>
      </c>
      <c r="E255" s="10" t="s">
        <v>1463</v>
      </c>
    </row>
    <row r="256" customFormat="false" ht="75" hidden="false" customHeight="true" outlineLevel="0" collapsed="false">
      <c r="A256" s="10" t="s">
        <v>1794</v>
      </c>
      <c r="B256" s="10" t="s">
        <v>1795</v>
      </c>
      <c r="C256" s="10" t="s">
        <v>1461</v>
      </c>
      <c r="D256" s="10" t="s">
        <v>1796</v>
      </c>
      <c r="E256" s="10" t="s">
        <v>1463</v>
      </c>
    </row>
    <row r="257" customFormat="false" ht="75" hidden="false" customHeight="true" outlineLevel="0" collapsed="false">
      <c r="A257" s="10" t="s">
        <v>1797</v>
      </c>
      <c r="B257" s="10" t="s">
        <v>1798</v>
      </c>
      <c r="C257" s="10" t="s">
        <v>1461</v>
      </c>
      <c r="D257" s="10" t="s">
        <v>1799</v>
      </c>
      <c r="E257" s="10" t="s">
        <v>1463</v>
      </c>
    </row>
    <row r="258" customFormat="false" ht="75" hidden="false" customHeight="true" outlineLevel="0" collapsed="false">
      <c r="A258" s="10" t="s">
        <v>1800</v>
      </c>
      <c r="B258" s="10" t="s">
        <v>1801</v>
      </c>
      <c r="C258" s="10" t="s">
        <v>1461</v>
      </c>
      <c r="D258" s="10" t="s">
        <v>1802</v>
      </c>
      <c r="E258" s="10" t="s">
        <v>1463</v>
      </c>
    </row>
    <row r="259" customFormat="false" ht="75" hidden="false" customHeight="true" outlineLevel="0" collapsed="false">
      <c r="A259" s="10" t="s">
        <v>1803</v>
      </c>
      <c r="B259" s="10" t="s">
        <v>1804</v>
      </c>
      <c r="C259" s="10" t="s">
        <v>1461</v>
      </c>
      <c r="D259" s="10" t="s">
        <v>1805</v>
      </c>
      <c r="E259" s="10" t="s">
        <v>1463</v>
      </c>
    </row>
    <row r="260" customFormat="false" ht="75" hidden="false" customHeight="true" outlineLevel="0" collapsed="false">
      <c r="A260" s="10" t="s">
        <v>1806</v>
      </c>
      <c r="B260" s="10" t="s">
        <v>1807</v>
      </c>
      <c r="C260" s="10" t="s">
        <v>1461</v>
      </c>
      <c r="D260" s="10" t="s">
        <v>1808</v>
      </c>
      <c r="E260" s="10" t="s">
        <v>1463</v>
      </c>
    </row>
    <row r="261" customFormat="false" ht="75" hidden="false" customHeight="true" outlineLevel="0" collapsed="false">
      <c r="A261" s="10" t="s">
        <v>1809</v>
      </c>
      <c r="B261" s="10" t="s">
        <v>1810</v>
      </c>
      <c r="C261" s="10" t="s">
        <v>1461</v>
      </c>
      <c r="D261" s="10" t="s">
        <v>1811</v>
      </c>
      <c r="E261" s="10" t="s">
        <v>1463</v>
      </c>
    </row>
    <row r="262" customFormat="false" ht="75" hidden="false" customHeight="true" outlineLevel="0" collapsed="false">
      <c r="A262" s="10" t="s">
        <v>1812</v>
      </c>
      <c r="B262" s="10" t="s">
        <v>1813</v>
      </c>
      <c r="C262" s="10" t="s">
        <v>1461</v>
      </c>
      <c r="D262" s="10" t="s">
        <v>1814</v>
      </c>
      <c r="E262" s="10" t="s">
        <v>1463</v>
      </c>
    </row>
    <row r="263" customFormat="false" ht="75" hidden="false" customHeight="true" outlineLevel="0" collapsed="false">
      <c r="A263" s="10" t="s">
        <v>1815</v>
      </c>
      <c r="B263" s="10" t="s">
        <v>1816</v>
      </c>
      <c r="C263" s="10" t="s">
        <v>1461</v>
      </c>
      <c r="D263" s="10" t="s">
        <v>1817</v>
      </c>
      <c r="E263" s="10" t="s">
        <v>1463</v>
      </c>
    </row>
    <row r="264" customFormat="false" ht="75" hidden="false" customHeight="true" outlineLevel="0" collapsed="false">
      <c r="A264" s="10" t="s">
        <v>1818</v>
      </c>
      <c r="B264" s="10" t="s">
        <v>1819</v>
      </c>
      <c r="C264" s="10" t="s">
        <v>1461</v>
      </c>
      <c r="D264" s="10" t="s">
        <v>1820</v>
      </c>
      <c r="E264" s="10" t="s">
        <v>1463</v>
      </c>
    </row>
    <row r="265" customFormat="false" ht="75" hidden="false" customHeight="true" outlineLevel="0" collapsed="false">
      <c r="A265" s="10" t="s">
        <v>1821</v>
      </c>
      <c r="B265" s="10" t="s">
        <v>1822</v>
      </c>
      <c r="C265" s="10" t="s">
        <v>1461</v>
      </c>
      <c r="D265" s="10" t="s">
        <v>1823</v>
      </c>
      <c r="E265" s="10" t="s">
        <v>1463</v>
      </c>
    </row>
    <row r="266" customFormat="false" ht="75" hidden="false" customHeight="true" outlineLevel="0" collapsed="false">
      <c r="A266" s="10" t="s">
        <v>1824</v>
      </c>
      <c r="B266" s="10" t="s">
        <v>1825</v>
      </c>
      <c r="C266" s="10" t="s">
        <v>1461</v>
      </c>
      <c r="D266" s="10" t="s">
        <v>1826</v>
      </c>
      <c r="E266" s="10" t="s">
        <v>1463</v>
      </c>
    </row>
    <row r="267" customFormat="false" ht="75" hidden="false" customHeight="true" outlineLevel="0" collapsed="false">
      <c r="A267" s="10" t="s">
        <v>1827</v>
      </c>
      <c r="B267" s="10" t="s">
        <v>1828</v>
      </c>
      <c r="C267" s="10" t="s">
        <v>1461</v>
      </c>
      <c r="D267" s="10" t="s">
        <v>1829</v>
      </c>
      <c r="E267" s="10" t="s">
        <v>1463</v>
      </c>
    </row>
    <row r="268" customFormat="false" ht="75" hidden="false" customHeight="true" outlineLevel="0" collapsed="false">
      <c r="A268" s="10" t="s">
        <v>1830</v>
      </c>
      <c r="B268" s="10" t="s">
        <v>1831</v>
      </c>
      <c r="C268" s="10" t="s">
        <v>1461</v>
      </c>
      <c r="D268" s="10" t="s">
        <v>1832</v>
      </c>
      <c r="E268" s="10" t="s">
        <v>1463</v>
      </c>
    </row>
    <row r="269" customFormat="false" ht="75" hidden="false" customHeight="true" outlineLevel="0" collapsed="false">
      <c r="A269" s="10" t="s">
        <v>1833</v>
      </c>
      <c r="B269" s="10" t="s">
        <v>1834</v>
      </c>
      <c r="C269" s="10" t="s">
        <v>1461</v>
      </c>
      <c r="D269" s="10" t="s">
        <v>1835</v>
      </c>
      <c r="E269" s="10" t="s">
        <v>1463</v>
      </c>
    </row>
    <row r="270" customFormat="false" ht="75" hidden="false" customHeight="true" outlineLevel="0" collapsed="false">
      <c r="A270" s="10" t="s">
        <v>1836</v>
      </c>
      <c r="B270" s="10" t="s">
        <v>1837</v>
      </c>
      <c r="C270" s="10" t="s">
        <v>1461</v>
      </c>
      <c r="D270" s="10" t="s">
        <v>1838</v>
      </c>
      <c r="E270" s="10" t="s">
        <v>1463</v>
      </c>
    </row>
    <row r="271" customFormat="false" ht="75" hidden="false" customHeight="true" outlineLevel="0" collapsed="false">
      <c r="A271" s="10" t="s">
        <v>1839</v>
      </c>
      <c r="B271" s="10" t="s">
        <v>1840</v>
      </c>
      <c r="C271" s="10" t="s">
        <v>1461</v>
      </c>
      <c r="D271" s="10" t="s">
        <v>1841</v>
      </c>
      <c r="E271" s="10" t="s">
        <v>1463</v>
      </c>
    </row>
    <row r="272" customFormat="false" ht="75" hidden="false" customHeight="true" outlineLevel="0" collapsed="false">
      <c r="A272" s="10" t="s">
        <v>1842</v>
      </c>
      <c r="B272" s="10" t="s">
        <v>1843</v>
      </c>
      <c r="C272" s="10" t="s">
        <v>1461</v>
      </c>
      <c r="D272" s="10" t="s">
        <v>1844</v>
      </c>
      <c r="E272" s="10" t="s">
        <v>1463</v>
      </c>
    </row>
    <row r="273" customFormat="false" ht="75" hidden="false" customHeight="true" outlineLevel="0" collapsed="false">
      <c r="A273" s="10" t="s">
        <v>1845</v>
      </c>
      <c r="B273" s="10" t="s">
        <v>1846</v>
      </c>
      <c r="C273" s="10" t="s">
        <v>1461</v>
      </c>
      <c r="D273" s="10" t="s">
        <v>1844</v>
      </c>
      <c r="E273" s="10" t="s">
        <v>1463</v>
      </c>
    </row>
    <row r="274" customFormat="false" ht="75" hidden="false" customHeight="true" outlineLevel="0" collapsed="false">
      <c r="A274" s="10" t="s">
        <v>1847</v>
      </c>
      <c r="B274" s="10" t="s">
        <v>1848</v>
      </c>
      <c r="C274" s="10" t="s">
        <v>1461</v>
      </c>
      <c r="D274" s="10" t="s">
        <v>1849</v>
      </c>
      <c r="E274" s="10" t="s">
        <v>1463</v>
      </c>
    </row>
    <row r="275" customFormat="false" ht="75" hidden="false" customHeight="true" outlineLevel="0" collapsed="false">
      <c r="A275" s="10" t="s">
        <v>1850</v>
      </c>
      <c r="B275" s="10" t="s">
        <v>1851</v>
      </c>
      <c r="C275" s="10" t="s">
        <v>1461</v>
      </c>
      <c r="D275" s="10" t="s">
        <v>1852</v>
      </c>
      <c r="E275" s="10" t="s">
        <v>1463</v>
      </c>
    </row>
    <row r="276" customFormat="false" ht="75" hidden="false" customHeight="true" outlineLevel="0" collapsed="false">
      <c r="A276" s="10" t="s">
        <v>1853</v>
      </c>
      <c r="B276" s="10" t="s">
        <v>1854</v>
      </c>
      <c r="C276" s="10" t="s">
        <v>1461</v>
      </c>
      <c r="D276" s="10" t="s">
        <v>1855</v>
      </c>
      <c r="E276" s="10" t="s">
        <v>1463</v>
      </c>
    </row>
    <row r="277" customFormat="false" ht="75" hidden="false" customHeight="true" outlineLevel="0" collapsed="false">
      <c r="A277" s="10" t="s">
        <v>1856</v>
      </c>
      <c r="B277" s="10" t="s">
        <v>1857</v>
      </c>
      <c r="C277" s="10" t="s">
        <v>1461</v>
      </c>
      <c r="D277" s="10" t="s">
        <v>1858</v>
      </c>
      <c r="E277" s="10" t="s">
        <v>1463</v>
      </c>
    </row>
    <row r="278" customFormat="false" ht="75" hidden="false" customHeight="true" outlineLevel="0" collapsed="false">
      <c r="A278" s="10" t="s">
        <v>1859</v>
      </c>
      <c r="B278" s="10" t="s">
        <v>1860</v>
      </c>
      <c r="C278" s="10" t="s">
        <v>1461</v>
      </c>
      <c r="D278" s="10" t="s">
        <v>1861</v>
      </c>
      <c r="E278" s="10" t="s">
        <v>1463</v>
      </c>
    </row>
    <row r="279" customFormat="false" ht="75" hidden="false" customHeight="true" outlineLevel="0" collapsed="false">
      <c r="A279" s="10" t="s">
        <v>1862</v>
      </c>
      <c r="B279" s="10" t="s">
        <v>1863</v>
      </c>
      <c r="C279" s="10" t="s">
        <v>1461</v>
      </c>
      <c r="D279" s="10" t="s">
        <v>1864</v>
      </c>
      <c r="E279" s="10" t="s">
        <v>1463</v>
      </c>
    </row>
    <row r="280" customFormat="false" ht="75" hidden="false" customHeight="true" outlineLevel="0" collapsed="false">
      <c r="A280" s="10" t="s">
        <v>1865</v>
      </c>
      <c r="B280" s="10" t="s">
        <v>1866</v>
      </c>
      <c r="C280" s="10" t="s">
        <v>1461</v>
      </c>
      <c r="D280" s="10" t="s">
        <v>1867</v>
      </c>
      <c r="E280" s="10" t="s">
        <v>1463</v>
      </c>
    </row>
    <row r="281" customFormat="false" ht="75" hidden="false" customHeight="true" outlineLevel="0" collapsed="false">
      <c r="A281" s="10" t="s">
        <v>1868</v>
      </c>
      <c r="B281" s="10" t="s">
        <v>1869</v>
      </c>
      <c r="C281" s="10" t="s">
        <v>1461</v>
      </c>
      <c r="D281" s="10" t="s">
        <v>1870</v>
      </c>
      <c r="E281" s="10" t="s">
        <v>1463</v>
      </c>
    </row>
    <row r="282" customFormat="false" ht="75" hidden="false" customHeight="true" outlineLevel="0" collapsed="false">
      <c r="A282" s="10" t="s">
        <v>1871</v>
      </c>
      <c r="B282" s="10" t="s">
        <v>1872</v>
      </c>
      <c r="C282" s="10" t="s">
        <v>1461</v>
      </c>
      <c r="D282" s="10" t="s">
        <v>1873</v>
      </c>
      <c r="E282" s="10" t="s">
        <v>1463</v>
      </c>
    </row>
    <row r="283" customFormat="false" ht="75" hidden="false" customHeight="true" outlineLevel="0" collapsed="false">
      <c r="A283" s="10" t="s">
        <v>1874</v>
      </c>
      <c r="B283" s="10" t="s">
        <v>1875</v>
      </c>
      <c r="C283" s="10" t="s">
        <v>1461</v>
      </c>
      <c r="D283" s="10" t="s">
        <v>1876</v>
      </c>
      <c r="E283" s="10" t="s">
        <v>1463</v>
      </c>
    </row>
    <row r="284" customFormat="false" ht="75" hidden="false" customHeight="true" outlineLevel="0" collapsed="false">
      <c r="A284" s="10" t="s">
        <v>1877</v>
      </c>
      <c r="B284" s="10" t="s">
        <v>1878</v>
      </c>
      <c r="C284" s="10" t="s">
        <v>1461</v>
      </c>
      <c r="D284" s="10" t="s">
        <v>1879</v>
      </c>
      <c r="E284" s="10" t="s">
        <v>1463</v>
      </c>
    </row>
    <row r="285" customFormat="false" ht="75" hidden="false" customHeight="true" outlineLevel="0" collapsed="false">
      <c r="A285" s="10" t="s">
        <v>1880</v>
      </c>
      <c r="B285" s="10" t="s">
        <v>1881</v>
      </c>
      <c r="C285" s="10" t="s">
        <v>1461</v>
      </c>
      <c r="D285" s="10" t="s">
        <v>1882</v>
      </c>
      <c r="E285" s="10" t="s">
        <v>1463</v>
      </c>
    </row>
    <row r="286" customFormat="false" ht="75" hidden="false" customHeight="true" outlineLevel="0" collapsed="false">
      <c r="A286" s="10" t="s">
        <v>1883</v>
      </c>
      <c r="B286" s="10" t="s">
        <v>1884</v>
      </c>
      <c r="C286" s="10" t="s">
        <v>1461</v>
      </c>
      <c r="D286" s="10" t="s">
        <v>1885</v>
      </c>
      <c r="E286" s="10" t="s">
        <v>1463</v>
      </c>
    </row>
    <row r="287" customFormat="false" ht="75" hidden="false" customHeight="true" outlineLevel="0" collapsed="false">
      <c r="A287" s="10" t="s">
        <v>1886</v>
      </c>
      <c r="B287" s="10" t="s">
        <v>1887</v>
      </c>
      <c r="C287" s="10" t="s">
        <v>1461</v>
      </c>
      <c r="D287" s="10" t="s">
        <v>1888</v>
      </c>
      <c r="E287" s="10" t="s">
        <v>1463</v>
      </c>
    </row>
    <row r="288" customFormat="false" ht="75" hidden="false" customHeight="true" outlineLevel="0" collapsed="false">
      <c r="A288" s="10" t="s">
        <v>1889</v>
      </c>
      <c r="B288" s="10" t="s">
        <v>1890</v>
      </c>
      <c r="C288" s="10" t="s">
        <v>1461</v>
      </c>
      <c r="D288" s="10" t="s">
        <v>1891</v>
      </c>
      <c r="E288" s="10" t="s">
        <v>1463</v>
      </c>
    </row>
    <row r="289" customFormat="false" ht="75" hidden="false" customHeight="true" outlineLevel="0" collapsed="false">
      <c r="A289" s="10" t="s">
        <v>1892</v>
      </c>
      <c r="B289" s="10" t="s">
        <v>1893</v>
      </c>
      <c r="C289" s="10" t="s">
        <v>1461</v>
      </c>
      <c r="D289" s="10" t="s">
        <v>1894</v>
      </c>
      <c r="E289" s="10" t="s">
        <v>1463</v>
      </c>
    </row>
    <row r="290" customFormat="false" ht="75" hidden="false" customHeight="true" outlineLevel="0" collapsed="false">
      <c r="A290" s="10" t="s">
        <v>1895</v>
      </c>
      <c r="B290" s="10" t="s">
        <v>1896</v>
      </c>
      <c r="C290" s="10" t="s">
        <v>1461</v>
      </c>
      <c r="D290" s="10" t="s">
        <v>1897</v>
      </c>
      <c r="E290" s="10" t="s">
        <v>1463</v>
      </c>
    </row>
    <row r="291" customFormat="false" ht="75" hidden="false" customHeight="true" outlineLevel="0" collapsed="false">
      <c r="A291" s="10" t="s">
        <v>1898</v>
      </c>
      <c r="B291" s="10" t="s">
        <v>1899</v>
      </c>
      <c r="C291" s="10" t="s">
        <v>1461</v>
      </c>
      <c r="D291" s="10" t="s">
        <v>1900</v>
      </c>
      <c r="E291" s="10" t="s">
        <v>1463</v>
      </c>
    </row>
    <row r="292" customFormat="false" ht="75" hidden="false" customHeight="true" outlineLevel="0" collapsed="false">
      <c r="A292" s="10" t="s">
        <v>1901</v>
      </c>
      <c r="B292" s="10" t="s">
        <v>1902</v>
      </c>
      <c r="C292" s="10" t="s">
        <v>1461</v>
      </c>
      <c r="D292" s="10" t="s">
        <v>1903</v>
      </c>
      <c r="E292" s="10" t="s">
        <v>1463</v>
      </c>
    </row>
    <row r="293" customFormat="false" ht="75" hidden="false" customHeight="true" outlineLevel="0" collapsed="false">
      <c r="A293" s="10" t="s">
        <v>1904</v>
      </c>
      <c r="B293" s="10" t="s">
        <v>1905</v>
      </c>
      <c r="C293" s="10" t="s">
        <v>1461</v>
      </c>
      <c r="D293" s="10" t="s">
        <v>1906</v>
      </c>
      <c r="E293" s="10" t="s">
        <v>1463</v>
      </c>
    </row>
    <row r="294" customFormat="false" ht="75" hidden="false" customHeight="true" outlineLevel="0" collapsed="false">
      <c r="A294" s="10" t="s">
        <v>1907</v>
      </c>
      <c r="B294" s="10" t="s">
        <v>1908</v>
      </c>
      <c r="C294" s="10" t="s">
        <v>1461</v>
      </c>
      <c r="D294" s="10" t="s">
        <v>1909</v>
      </c>
      <c r="E294" s="10" t="s">
        <v>1463</v>
      </c>
    </row>
    <row r="295" customFormat="false" ht="75" hidden="false" customHeight="true" outlineLevel="0" collapsed="false">
      <c r="A295" s="10" t="s">
        <v>1910</v>
      </c>
      <c r="B295" s="10" t="s">
        <v>1911</v>
      </c>
      <c r="C295" s="10" t="s">
        <v>1461</v>
      </c>
      <c r="D295" s="10" t="s">
        <v>1912</v>
      </c>
      <c r="E295" s="10" t="s">
        <v>1463</v>
      </c>
    </row>
    <row r="296" customFormat="false" ht="75" hidden="false" customHeight="true" outlineLevel="0" collapsed="false">
      <c r="A296" s="10" t="s">
        <v>1913</v>
      </c>
      <c r="B296" s="10" t="s">
        <v>1914</v>
      </c>
      <c r="C296" s="10" t="s">
        <v>1461</v>
      </c>
      <c r="D296" s="10" t="s">
        <v>1915</v>
      </c>
      <c r="E296" s="10" t="s">
        <v>1463</v>
      </c>
    </row>
    <row r="297" customFormat="false" ht="75" hidden="false" customHeight="true" outlineLevel="0" collapsed="false">
      <c r="A297" s="10" t="s">
        <v>1916</v>
      </c>
      <c r="B297" s="10" t="s">
        <v>1917</v>
      </c>
      <c r="C297" s="10" t="s">
        <v>1461</v>
      </c>
      <c r="D297" s="10" t="s">
        <v>1918</v>
      </c>
      <c r="E297" s="10" t="s">
        <v>1463</v>
      </c>
    </row>
    <row r="298" customFormat="false" ht="75" hidden="false" customHeight="true" outlineLevel="0" collapsed="false">
      <c r="A298" s="10" t="s">
        <v>1919</v>
      </c>
      <c r="B298" s="10" t="s">
        <v>1920</v>
      </c>
      <c r="C298" s="10" t="s">
        <v>1461</v>
      </c>
      <c r="D298" s="10" t="s">
        <v>1717</v>
      </c>
      <c r="E298" s="10" t="s">
        <v>1463</v>
      </c>
    </row>
    <row r="299" customFormat="false" ht="75" hidden="false" customHeight="true" outlineLevel="0" collapsed="false">
      <c r="A299" s="10" t="s">
        <v>1921</v>
      </c>
      <c r="B299" s="10" t="s">
        <v>1922</v>
      </c>
      <c r="C299" s="10" t="s">
        <v>1461</v>
      </c>
      <c r="D299" s="10" t="s">
        <v>1682</v>
      </c>
      <c r="E299" s="10" t="s">
        <v>1463</v>
      </c>
    </row>
    <row r="300" customFormat="false" ht="75" hidden="false" customHeight="true" outlineLevel="0" collapsed="false">
      <c r="A300" s="10" t="s">
        <v>1923</v>
      </c>
      <c r="B300" s="10" t="s">
        <v>1924</v>
      </c>
      <c r="C300" s="10" t="s">
        <v>1461</v>
      </c>
      <c r="D300" s="10" t="s">
        <v>1925</v>
      </c>
      <c r="E300" s="10" t="s">
        <v>1463</v>
      </c>
    </row>
    <row r="301" customFormat="false" ht="75" hidden="false" customHeight="true" outlineLevel="0" collapsed="false">
      <c r="A301" s="10" t="s">
        <v>1926</v>
      </c>
      <c r="B301" s="10" t="s">
        <v>1927</v>
      </c>
      <c r="C301" s="10" t="s">
        <v>1461</v>
      </c>
      <c r="D301" s="10" t="s">
        <v>1928</v>
      </c>
      <c r="E301" s="10" t="s">
        <v>1463</v>
      </c>
    </row>
    <row r="302" customFormat="false" ht="75" hidden="false" customHeight="true" outlineLevel="0" collapsed="false">
      <c r="A302" s="10" t="s">
        <v>1929</v>
      </c>
      <c r="B302" s="10" t="s">
        <v>1930</v>
      </c>
      <c r="C302" s="10" t="s">
        <v>1461</v>
      </c>
      <c r="D302" s="10" t="s">
        <v>1931</v>
      </c>
      <c r="E302" s="10" t="s">
        <v>1463</v>
      </c>
    </row>
    <row r="303" customFormat="false" ht="75" hidden="false" customHeight="true" outlineLevel="0" collapsed="false">
      <c r="A303" s="10" t="s">
        <v>1932</v>
      </c>
      <c r="B303" s="10" t="s">
        <v>1933</v>
      </c>
      <c r="C303" s="10" t="s">
        <v>1461</v>
      </c>
      <c r="D303" s="10" t="s">
        <v>1934</v>
      </c>
      <c r="E303" s="10" t="s">
        <v>1463</v>
      </c>
    </row>
    <row r="304" customFormat="false" ht="75" hidden="false" customHeight="true" outlineLevel="0" collapsed="false">
      <c r="A304" s="10" t="s">
        <v>1935</v>
      </c>
      <c r="B304" s="10" t="s">
        <v>1936</v>
      </c>
      <c r="C304" s="10" t="s">
        <v>1461</v>
      </c>
      <c r="D304" s="10" t="s">
        <v>1937</v>
      </c>
      <c r="E304" s="10" t="s">
        <v>1463</v>
      </c>
    </row>
    <row r="305" customFormat="false" ht="75" hidden="false" customHeight="true" outlineLevel="0" collapsed="false">
      <c r="A305" s="10" t="s">
        <v>1938</v>
      </c>
      <c r="B305" s="10" t="s">
        <v>1939</v>
      </c>
      <c r="C305" s="10" t="s">
        <v>1461</v>
      </c>
      <c r="D305" s="10" t="s">
        <v>1940</v>
      </c>
      <c r="E305" s="10" t="s">
        <v>1463</v>
      </c>
    </row>
    <row r="306" customFormat="false" ht="75" hidden="false" customHeight="true" outlineLevel="0" collapsed="false">
      <c r="A306" s="10" t="s">
        <v>1941</v>
      </c>
      <c r="B306" s="10" t="s">
        <v>1942</v>
      </c>
      <c r="C306" s="10" t="s">
        <v>1461</v>
      </c>
      <c r="D306" s="10" t="s">
        <v>1790</v>
      </c>
      <c r="E306" s="10" t="s">
        <v>1463</v>
      </c>
    </row>
    <row r="307" customFormat="false" ht="75" hidden="false" customHeight="true" outlineLevel="0" collapsed="false">
      <c r="A307" s="10" t="s">
        <v>1943</v>
      </c>
      <c r="B307" s="10" t="s">
        <v>1944</v>
      </c>
      <c r="C307" s="10" t="s">
        <v>1461</v>
      </c>
      <c r="D307" s="10" t="s">
        <v>1945</v>
      </c>
      <c r="E307" s="10" t="s">
        <v>1463</v>
      </c>
    </row>
    <row r="308" customFormat="false" ht="75" hidden="false" customHeight="true" outlineLevel="0" collapsed="false">
      <c r="A308" s="10" t="s">
        <v>1946</v>
      </c>
      <c r="B308" s="10" t="s">
        <v>1947</v>
      </c>
      <c r="C308" s="10" t="s">
        <v>1461</v>
      </c>
      <c r="D308" s="10" t="s">
        <v>1948</v>
      </c>
      <c r="E308" s="10" t="s">
        <v>1463</v>
      </c>
    </row>
    <row r="309" customFormat="false" ht="75" hidden="false" customHeight="true" outlineLevel="0" collapsed="false">
      <c r="A309" s="10" t="s">
        <v>1949</v>
      </c>
      <c r="B309" s="10" t="s">
        <v>1950</v>
      </c>
      <c r="C309" s="10" t="s">
        <v>1461</v>
      </c>
      <c r="D309" s="10" t="s">
        <v>1951</v>
      </c>
      <c r="E309" s="10" t="s">
        <v>1463</v>
      </c>
    </row>
    <row r="310" customFormat="false" ht="75" hidden="false" customHeight="true" outlineLevel="0" collapsed="false">
      <c r="A310" s="10" t="s">
        <v>1952</v>
      </c>
      <c r="B310" s="10" t="s">
        <v>1953</v>
      </c>
      <c r="C310" s="10" t="s">
        <v>1461</v>
      </c>
      <c r="D310" s="10" t="s">
        <v>1954</v>
      </c>
      <c r="E310" s="10" t="s">
        <v>1463</v>
      </c>
    </row>
    <row r="311" customFormat="false" ht="75" hidden="false" customHeight="true" outlineLevel="0" collapsed="false">
      <c r="A311" s="10" t="s">
        <v>1955</v>
      </c>
      <c r="B311" s="10" t="s">
        <v>1956</v>
      </c>
      <c r="C311" s="10" t="s">
        <v>1461</v>
      </c>
      <c r="D311" s="10" t="s">
        <v>1957</v>
      </c>
      <c r="E311" s="10" t="s">
        <v>1463</v>
      </c>
    </row>
    <row r="312" customFormat="false" ht="75" hidden="false" customHeight="true" outlineLevel="0" collapsed="false">
      <c r="A312" s="10" t="s">
        <v>1958</v>
      </c>
      <c r="B312" s="10" t="s">
        <v>1959</v>
      </c>
      <c r="C312" s="10" t="s">
        <v>1461</v>
      </c>
      <c r="D312" s="10" t="s">
        <v>1772</v>
      </c>
      <c r="E312" s="10" t="s">
        <v>1463</v>
      </c>
    </row>
    <row r="313" customFormat="false" ht="75" hidden="false" customHeight="true" outlineLevel="0" collapsed="false">
      <c r="A313" s="10" t="s">
        <v>1960</v>
      </c>
      <c r="B313" s="10" t="s">
        <v>1961</v>
      </c>
      <c r="C313" s="10" t="s">
        <v>1461</v>
      </c>
      <c r="D313" s="10" t="s">
        <v>1673</v>
      </c>
      <c r="E313" s="10" t="s">
        <v>1463</v>
      </c>
    </row>
    <row r="314" customFormat="false" ht="75" hidden="false" customHeight="true" outlineLevel="0" collapsed="false">
      <c r="A314" s="10" t="s">
        <v>1962</v>
      </c>
      <c r="B314" s="10" t="s">
        <v>1963</v>
      </c>
      <c r="C314" s="10" t="s">
        <v>1461</v>
      </c>
      <c r="D314" s="10" t="s">
        <v>1964</v>
      </c>
      <c r="E314" s="10" t="s">
        <v>1463</v>
      </c>
    </row>
    <row r="315" customFormat="false" ht="75" hidden="false" customHeight="true" outlineLevel="0" collapsed="false">
      <c r="A315" s="10" t="s">
        <v>1965</v>
      </c>
      <c r="B315" s="10" t="s">
        <v>1966</v>
      </c>
      <c r="C315" s="10" t="s">
        <v>1461</v>
      </c>
      <c r="D315" s="10" t="s">
        <v>1967</v>
      </c>
      <c r="E315" s="10" t="s">
        <v>1463</v>
      </c>
    </row>
    <row r="316" customFormat="false" ht="75" hidden="false" customHeight="true" outlineLevel="0" collapsed="false">
      <c r="A316" s="10" t="s">
        <v>1968</v>
      </c>
      <c r="B316" s="10" t="s">
        <v>1969</v>
      </c>
      <c r="C316" s="10" t="s">
        <v>1461</v>
      </c>
      <c r="D316" s="10" t="s">
        <v>1970</v>
      </c>
      <c r="E316" s="10" t="s">
        <v>1463</v>
      </c>
    </row>
    <row r="317" customFormat="false" ht="75" hidden="false" customHeight="true" outlineLevel="0" collapsed="false">
      <c r="A317" s="10" t="s">
        <v>1971</v>
      </c>
      <c r="B317" s="10" t="s">
        <v>1972</v>
      </c>
      <c r="C317" s="10" t="s">
        <v>1461</v>
      </c>
      <c r="D317" s="10" t="s">
        <v>1973</v>
      </c>
      <c r="E317" s="10" t="s">
        <v>1463</v>
      </c>
    </row>
    <row r="318" customFormat="false" ht="75" hidden="false" customHeight="true" outlineLevel="0" collapsed="false">
      <c r="A318" s="10" t="s">
        <v>1974</v>
      </c>
      <c r="B318" s="10" t="s">
        <v>1975</v>
      </c>
      <c r="C318" s="10" t="s">
        <v>1461</v>
      </c>
      <c r="D318" s="10" t="s">
        <v>1976</v>
      </c>
      <c r="E318" s="10" t="s">
        <v>1463</v>
      </c>
    </row>
    <row r="319" customFormat="false" ht="75" hidden="false" customHeight="true" outlineLevel="0" collapsed="false">
      <c r="A319" s="10" t="s">
        <v>1977</v>
      </c>
      <c r="B319" s="10" t="s">
        <v>1978</v>
      </c>
      <c r="C319" s="10" t="s">
        <v>1461</v>
      </c>
      <c r="D319" s="10" t="s">
        <v>1979</v>
      </c>
      <c r="E319" s="10" t="s">
        <v>1463</v>
      </c>
    </row>
    <row r="320" customFormat="false" ht="75" hidden="false" customHeight="true" outlineLevel="0" collapsed="false">
      <c r="A320" s="10" t="s">
        <v>1980</v>
      </c>
      <c r="B320" s="10" t="s">
        <v>1981</v>
      </c>
      <c r="C320" s="10" t="s">
        <v>1461</v>
      </c>
      <c r="D320" s="10" t="s">
        <v>1982</v>
      </c>
      <c r="E320" s="10" t="s">
        <v>1463</v>
      </c>
    </row>
    <row r="321" customFormat="false" ht="75" hidden="false" customHeight="true" outlineLevel="0" collapsed="false">
      <c r="A321" s="10" t="s">
        <v>1983</v>
      </c>
      <c r="B321" s="10" t="s">
        <v>1984</v>
      </c>
      <c r="C321" s="10" t="s">
        <v>1461</v>
      </c>
      <c r="D321" s="10" t="s">
        <v>1985</v>
      </c>
      <c r="E321" s="10" t="s">
        <v>1463</v>
      </c>
    </row>
    <row r="322" customFormat="false" ht="75" hidden="false" customHeight="true" outlineLevel="0" collapsed="false">
      <c r="A322" s="10" t="s">
        <v>1986</v>
      </c>
      <c r="B322" s="10" t="s">
        <v>1987</v>
      </c>
      <c r="C322" s="10" t="s">
        <v>1461</v>
      </c>
      <c r="D322" s="10" t="s">
        <v>1988</v>
      </c>
      <c r="E322" s="10" t="s">
        <v>1463</v>
      </c>
    </row>
    <row r="323" customFormat="false" ht="75" hidden="false" customHeight="true" outlineLevel="0" collapsed="false">
      <c r="A323" s="10" t="s">
        <v>1989</v>
      </c>
      <c r="B323" s="10" t="s">
        <v>1990</v>
      </c>
      <c r="C323" s="10" t="s">
        <v>1461</v>
      </c>
      <c r="D323" s="10" t="s">
        <v>1991</v>
      </c>
      <c r="E323" s="10" t="s">
        <v>1463</v>
      </c>
    </row>
    <row r="324" customFormat="false" ht="75" hidden="false" customHeight="true" outlineLevel="0" collapsed="false">
      <c r="A324" s="10" t="s">
        <v>1992</v>
      </c>
      <c r="B324" s="10" t="s">
        <v>1993</v>
      </c>
      <c r="C324" s="10" t="s">
        <v>1461</v>
      </c>
      <c r="D324" s="10" t="s">
        <v>1994</v>
      </c>
      <c r="E324" s="10" t="s">
        <v>1463</v>
      </c>
    </row>
    <row r="325" customFormat="false" ht="75" hidden="false" customHeight="true" outlineLevel="0" collapsed="false">
      <c r="A325" s="10" t="s">
        <v>1995</v>
      </c>
      <c r="B325" s="10" t="s">
        <v>1996</v>
      </c>
      <c r="C325" s="10" t="s">
        <v>1461</v>
      </c>
      <c r="D325" s="10" t="s">
        <v>1997</v>
      </c>
      <c r="E325" s="10" t="s">
        <v>1463</v>
      </c>
    </row>
    <row r="326" customFormat="false" ht="75" hidden="false" customHeight="true" outlineLevel="0" collapsed="false">
      <c r="A326" s="10" t="s">
        <v>1998</v>
      </c>
      <c r="B326" s="10" t="s">
        <v>1999</v>
      </c>
      <c r="C326" s="10" t="s">
        <v>1461</v>
      </c>
      <c r="D326" s="10" t="s">
        <v>2000</v>
      </c>
      <c r="E326" s="10" t="s">
        <v>1463</v>
      </c>
    </row>
    <row r="327" customFormat="false" ht="75" hidden="false" customHeight="true" outlineLevel="0" collapsed="false">
      <c r="A327" s="10" t="s">
        <v>2001</v>
      </c>
      <c r="B327" s="10" t="s">
        <v>2002</v>
      </c>
      <c r="C327" s="10" t="s">
        <v>1461</v>
      </c>
      <c r="D327" s="10" t="s">
        <v>2003</v>
      </c>
      <c r="E327" s="10" t="s">
        <v>1463</v>
      </c>
    </row>
    <row r="328" customFormat="false" ht="75" hidden="false" customHeight="true" outlineLevel="0" collapsed="false">
      <c r="A328" s="10" t="s">
        <v>2004</v>
      </c>
      <c r="B328" s="10" t="s">
        <v>2005</v>
      </c>
      <c r="C328" s="10" t="s">
        <v>1461</v>
      </c>
      <c r="D328" s="10" t="s">
        <v>2006</v>
      </c>
      <c r="E328" s="10" t="s">
        <v>1463</v>
      </c>
    </row>
    <row r="329" customFormat="false" ht="75" hidden="false" customHeight="true" outlineLevel="0" collapsed="false">
      <c r="A329" s="10" t="s">
        <v>2007</v>
      </c>
      <c r="B329" s="10" t="s">
        <v>2008</v>
      </c>
      <c r="C329" s="10" t="s">
        <v>1461</v>
      </c>
      <c r="D329" s="10" t="s">
        <v>2009</v>
      </c>
      <c r="E329" s="10" t="s">
        <v>1463</v>
      </c>
    </row>
    <row r="330" customFormat="false" ht="75" hidden="false" customHeight="true" outlineLevel="0" collapsed="false">
      <c r="A330" s="10" t="s">
        <v>2010</v>
      </c>
      <c r="B330" s="10" t="s">
        <v>2011</v>
      </c>
      <c r="C330" s="10" t="s">
        <v>1461</v>
      </c>
      <c r="D330" s="10" t="s">
        <v>2012</v>
      </c>
      <c r="E330" s="10" t="s">
        <v>1463</v>
      </c>
    </row>
    <row r="331" customFormat="false" ht="75" hidden="false" customHeight="true" outlineLevel="0" collapsed="false">
      <c r="A331" s="10" t="s">
        <v>2013</v>
      </c>
      <c r="B331" s="10" t="s">
        <v>2014</v>
      </c>
      <c r="C331" s="10" t="s">
        <v>1461</v>
      </c>
      <c r="D331" s="10" t="s">
        <v>2015</v>
      </c>
      <c r="E331" s="10" t="s">
        <v>1463</v>
      </c>
    </row>
    <row r="332" customFormat="false" ht="75" hidden="false" customHeight="true" outlineLevel="0" collapsed="false">
      <c r="A332" s="10" t="s">
        <v>2016</v>
      </c>
      <c r="B332" s="10" t="s">
        <v>2017</v>
      </c>
      <c r="C332" s="10" t="s">
        <v>1461</v>
      </c>
      <c r="D332" s="10" t="s">
        <v>2018</v>
      </c>
      <c r="E332" s="10" t="s">
        <v>1463</v>
      </c>
    </row>
    <row r="333" customFormat="false" ht="75" hidden="false" customHeight="true" outlineLevel="0" collapsed="false">
      <c r="A333" s="10" t="s">
        <v>2019</v>
      </c>
      <c r="B333" s="10" t="s">
        <v>2020</v>
      </c>
      <c r="C333" s="10" t="s">
        <v>1461</v>
      </c>
      <c r="D333" s="10" t="s">
        <v>1668</v>
      </c>
      <c r="E333" s="10" t="s">
        <v>1463</v>
      </c>
    </row>
    <row r="334" customFormat="false" ht="75" hidden="false" customHeight="true" outlineLevel="0" collapsed="false">
      <c r="A334" s="10" t="s">
        <v>2021</v>
      </c>
      <c r="B334" s="10" t="s">
        <v>2022</v>
      </c>
      <c r="C334" s="10" t="s">
        <v>1461</v>
      </c>
      <c r="D334" s="10" t="s">
        <v>2023</v>
      </c>
      <c r="E334" s="10" t="s">
        <v>1463</v>
      </c>
    </row>
    <row r="335" customFormat="false" ht="75" hidden="false" customHeight="true" outlineLevel="0" collapsed="false">
      <c r="A335" s="10" t="s">
        <v>2024</v>
      </c>
      <c r="B335" s="10" t="s">
        <v>2025</v>
      </c>
      <c r="C335" s="10" t="s">
        <v>1461</v>
      </c>
      <c r="D335" s="10" t="s">
        <v>2026</v>
      </c>
      <c r="E335" s="10" t="s">
        <v>1463</v>
      </c>
    </row>
    <row r="336" customFormat="false" ht="75" hidden="false" customHeight="true" outlineLevel="0" collapsed="false">
      <c r="A336" s="10" t="s">
        <v>2027</v>
      </c>
      <c r="B336" s="10" t="s">
        <v>2028</v>
      </c>
      <c r="C336" s="10" t="s">
        <v>1461</v>
      </c>
      <c r="D336" s="10" t="s">
        <v>2029</v>
      </c>
      <c r="E336" s="10" t="s">
        <v>1463</v>
      </c>
    </row>
    <row r="337" customFormat="false" ht="75" hidden="false" customHeight="true" outlineLevel="0" collapsed="false">
      <c r="A337" s="10" t="s">
        <v>2030</v>
      </c>
      <c r="B337" s="10" t="s">
        <v>2031</v>
      </c>
      <c r="C337" s="10" t="s">
        <v>1461</v>
      </c>
      <c r="D337" s="10" t="s">
        <v>2032</v>
      </c>
      <c r="E337" s="10" t="s">
        <v>1463</v>
      </c>
    </row>
    <row r="338" customFormat="false" ht="75" hidden="false" customHeight="true" outlineLevel="0" collapsed="false">
      <c r="A338" s="10" t="s">
        <v>2033</v>
      </c>
      <c r="B338" s="10" t="s">
        <v>2034</v>
      </c>
      <c r="C338" s="10" t="s">
        <v>1461</v>
      </c>
      <c r="D338" s="10" t="s">
        <v>2035</v>
      </c>
      <c r="E338" s="10" t="s">
        <v>1463</v>
      </c>
    </row>
    <row r="339" customFormat="false" ht="75" hidden="false" customHeight="true" outlineLevel="0" collapsed="false">
      <c r="A339" s="10" t="s">
        <v>2036</v>
      </c>
      <c r="B339" s="10" t="s">
        <v>2037</v>
      </c>
      <c r="C339" s="10" t="s">
        <v>1461</v>
      </c>
      <c r="D339" s="10" t="s">
        <v>2038</v>
      </c>
      <c r="E339" s="10" t="s">
        <v>1463</v>
      </c>
    </row>
    <row r="340" customFormat="false" ht="75" hidden="false" customHeight="true" outlineLevel="0" collapsed="false">
      <c r="A340" s="10" t="s">
        <v>2039</v>
      </c>
      <c r="B340" s="10" t="s">
        <v>2040</v>
      </c>
      <c r="C340" s="10" t="s">
        <v>1461</v>
      </c>
      <c r="D340" s="10" t="s">
        <v>2041</v>
      </c>
      <c r="E340" s="10" t="s">
        <v>1463</v>
      </c>
    </row>
    <row r="341" customFormat="false" ht="75" hidden="false" customHeight="true" outlineLevel="0" collapsed="false">
      <c r="A341" s="10" t="s">
        <v>2042</v>
      </c>
      <c r="B341" s="10" t="s">
        <v>2043</v>
      </c>
      <c r="C341" s="10" t="s">
        <v>1461</v>
      </c>
      <c r="D341" s="10" t="s">
        <v>2044</v>
      </c>
      <c r="E341" s="10" t="s">
        <v>1463</v>
      </c>
    </row>
    <row r="342" customFormat="false" ht="75" hidden="false" customHeight="true" outlineLevel="0" collapsed="false">
      <c r="A342" s="10" t="s">
        <v>2045</v>
      </c>
      <c r="B342" s="10" t="s">
        <v>2046</v>
      </c>
      <c r="C342" s="10" t="s">
        <v>1461</v>
      </c>
      <c r="D342" s="10" t="s">
        <v>2047</v>
      </c>
      <c r="E342" s="10" t="s">
        <v>1463</v>
      </c>
    </row>
    <row r="343" customFormat="false" ht="75" hidden="false" customHeight="true" outlineLevel="0" collapsed="false">
      <c r="A343" s="10" t="s">
        <v>2048</v>
      </c>
      <c r="B343" s="10" t="s">
        <v>2049</v>
      </c>
      <c r="C343" s="10" t="s">
        <v>1461</v>
      </c>
      <c r="D343" s="10" t="s">
        <v>2050</v>
      </c>
      <c r="E343" s="10" t="s">
        <v>1463</v>
      </c>
    </row>
    <row r="344" customFormat="false" ht="75" hidden="false" customHeight="true" outlineLevel="0" collapsed="false">
      <c r="A344" s="10" t="s">
        <v>2051</v>
      </c>
      <c r="B344" s="10" t="s">
        <v>2052</v>
      </c>
      <c r="C344" s="10" t="s">
        <v>1461</v>
      </c>
      <c r="D344" s="10" t="s">
        <v>2053</v>
      </c>
      <c r="E344" s="10" t="s">
        <v>1463</v>
      </c>
    </row>
    <row r="345" customFormat="false" ht="75" hidden="false" customHeight="true" outlineLevel="0" collapsed="false">
      <c r="A345" s="10" t="s">
        <v>2054</v>
      </c>
      <c r="B345" s="10" t="s">
        <v>2055</v>
      </c>
      <c r="C345" s="10" t="s">
        <v>1461</v>
      </c>
      <c r="D345" s="10" t="s">
        <v>2056</v>
      </c>
      <c r="E345" s="10" t="s">
        <v>1463</v>
      </c>
    </row>
    <row r="346" customFormat="false" ht="75" hidden="false" customHeight="true" outlineLevel="0" collapsed="false">
      <c r="A346" s="10" t="s">
        <v>2057</v>
      </c>
      <c r="B346" s="10" t="s">
        <v>2058</v>
      </c>
      <c r="C346" s="10" t="s">
        <v>1461</v>
      </c>
      <c r="D346" s="10" t="s">
        <v>2059</v>
      </c>
      <c r="E346" s="10" t="s">
        <v>1463</v>
      </c>
    </row>
    <row r="347" customFormat="false" ht="75" hidden="false" customHeight="true" outlineLevel="0" collapsed="false">
      <c r="A347" s="10" t="s">
        <v>2060</v>
      </c>
      <c r="B347" s="10" t="s">
        <v>2061</v>
      </c>
      <c r="C347" s="10" t="s">
        <v>1461</v>
      </c>
      <c r="D347" s="10" t="s">
        <v>2062</v>
      </c>
      <c r="E347" s="10" t="s">
        <v>1463</v>
      </c>
    </row>
    <row r="348" customFormat="false" ht="75" hidden="false" customHeight="true" outlineLevel="0" collapsed="false">
      <c r="A348" s="10" t="s">
        <v>2063</v>
      </c>
      <c r="B348" s="10" t="s">
        <v>2064</v>
      </c>
      <c r="C348" s="10" t="s">
        <v>1461</v>
      </c>
      <c r="D348" s="10" t="s">
        <v>2065</v>
      </c>
      <c r="E348" s="10" t="s">
        <v>1463</v>
      </c>
    </row>
    <row r="349" customFormat="false" ht="75" hidden="false" customHeight="true" outlineLevel="0" collapsed="false">
      <c r="A349" s="10" t="s">
        <v>2066</v>
      </c>
      <c r="B349" s="10" t="s">
        <v>2067</v>
      </c>
      <c r="C349" s="10" t="s">
        <v>1461</v>
      </c>
      <c r="D349" s="10" t="s">
        <v>1772</v>
      </c>
      <c r="E349" s="10" t="s">
        <v>1463</v>
      </c>
    </row>
    <row r="350" customFormat="false" ht="75" hidden="false" customHeight="true" outlineLevel="0" collapsed="false">
      <c r="A350" s="10" t="s">
        <v>2068</v>
      </c>
      <c r="B350" s="10" t="s">
        <v>2069</v>
      </c>
      <c r="C350" s="10" t="s">
        <v>1461</v>
      </c>
      <c r="D350" s="10" t="s">
        <v>1656</v>
      </c>
      <c r="E350" s="10" t="s">
        <v>1463</v>
      </c>
    </row>
    <row r="351" customFormat="false" ht="75" hidden="false" customHeight="true" outlineLevel="0" collapsed="false">
      <c r="A351" s="10" t="s">
        <v>2070</v>
      </c>
      <c r="B351" s="10" t="s">
        <v>2071</v>
      </c>
      <c r="C351" s="10" t="s">
        <v>1461</v>
      </c>
      <c r="D351" s="10" t="s">
        <v>2072</v>
      </c>
      <c r="E351" s="10" t="s">
        <v>1463</v>
      </c>
    </row>
    <row r="352" customFormat="false" ht="75" hidden="false" customHeight="true" outlineLevel="0" collapsed="false">
      <c r="A352" s="10" t="s">
        <v>2073</v>
      </c>
      <c r="B352" s="10" t="s">
        <v>2074</v>
      </c>
      <c r="C352" s="10" t="s">
        <v>1461</v>
      </c>
      <c r="D352" s="10" t="s">
        <v>1526</v>
      </c>
      <c r="E352" s="10" t="s">
        <v>1463</v>
      </c>
    </row>
    <row r="353" customFormat="false" ht="75" hidden="false" customHeight="true" outlineLevel="0" collapsed="false">
      <c r="A353" s="10" t="s">
        <v>2075</v>
      </c>
      <c r="B353" s="10" t="s">
        <v>2076</v>
      </c>
      <c r="C353" s="10" t="s">
        <v>1461</v>
      </c>
      <c r="D353" s="10" t="s">
        <v>2077</v>
      </c>
      <c r="E353" s="10" t="s">
        <v>1463</v>
      </c>
    </row>
    <row r="354" customFormat="false" ht="75" hidden="false" customHeight="true" outlineLevel="0" collapsed="false">
      <c r="A354" s="10" t="s">
        <v>2078</v>
      </c>
      <c r="B354" s="10" t="s">
        <v>2079</v>
      </c>
      <c r="C354" s="10" t="s">
        <v>1461</v>
      </c>
      <c r="D354" s="10" t="s">
        <v>2080</v>
      </c>
      <c r="E354" s="10" t="s">
        <v>1463</v>
      </c>
    </row>
    <row r="355" customFormat="false" ht="75" hidden="false" customHeight="true" outlineLevel="0" collapsed="false">
      <c r="A355" s="10" t="s">
        <v>2081</v>
      </c>
      <c r="B355" s="10" t="s">
        <v>2082</v>
      </c>
      <c r="C355" s="10" t="s">
        <v>1461</v>
      </c>
      <c r="D355" s="10" t="s">
        <v>2083</v>
      </c>
      <c r="E355" s="10" t="s">
        <v>1463</v>
      </c>
    </row>
    <row r="356" customFormat="false" ht="75" hidden="false" customHeight="true" outlineLevel="0" collapsed="false">
      <c r="A356" s="10" t="s">
        <v>2084</v>
      </c>
      <c r="B356" s="10" t="s">
        <v>2085</v>
      </c>
      <c r="C356" s="10" t="s">
        <v>1461</v>
      </c>
      <c r="D356" s="10" t="s">
        <v>2086</v>
      </c>
      <c r="E356" s="10" t="s">
        <v>1463</v>
      </c>
    </row>
    <row r="357" customFormat="false" ht="75" hidden="false" customHeight="true" outlineLevel="0" collapsed="false">
      <c r="A357" s="10" t="s">
        <v>2087</v>
      </c>
      <c r="B357" s="10" t="s">
        <v>2088</v>
      </c>
      <c r="C357" s="10" t="s">
        <v>1461</v>
      </c>
      <c r="D357" s="10" t="s">
        <v>2089</v>
      </c>
      <c r="E357" s="10" t="s">
        <v>1463</v>
      </c>
    </row>
    <row r="358" customFormat="false" ht="75" hidden="false" customHeight="true" outlineLevel="0" collapsed="false">
      <c r="A358" s="10" t="s">
        <v>2090</v>
      </c>
      <c r="B358" s="10" t="s">
        <v>2091</v>
      </c>
      <c r="C358" s="10" t="s">
        <v>1461</v>
      </c>
      <c r="D358" s="10" t="s">
        <v>2092</v>
      </c>
      <c r="E358" s="10" t="s">
        <v>1463</v>
      </c>
    </row>
    <row r="359" customFormat="false" ht="75" hidden="false" customHeight="true" outlineLevel="0" collapsed="false">
      <c r="A359" s="10" t="s">
        <v>2093</v>
      </c>
      <c r="B359" s="10" t="s">
        <v>2094</v>
      </c>
      <c r="C359" s="10" t="s">
        <v>1461</v>
      </c>
      <c r="D359" s="10" t="s">
        <v>2095</v>
      </c>
      <c r="E359" s="10" t="s">
        <v>1463</v>
      </c>
    </row>
    <row r="360" customFormat="false" ht="75" hidden="false" customHeight="true" outlineLevel="0" collapsed="false">
      <c r="A360" s="10" t="s">
        <v>2096</v>
      </c>
      <c r="B360" s="10" t="s">
        <v>2097</v>
      </c>
      <c r="C360" s="10" t="s">
        <v>1461</v>
      </c>
      <c r="D360" s="10" t="s">
        <v>2098</v>
      </c>
      <c r="E360" s="10" t="s">
        <v>1463</v>
      </c>
    </row>
    <row r="361" customFormat="false" ht="75" hidden="false" customHeight="true" outlineLevel="0" collapsed="false">
      <c r="A361" s="10" t="s">
        <v>2099</v>
      </c>
      <c r="B361" s="10" t="s">
        <v>2100</v>
      </c>
      <c r="C361" s="10" t="s">
        <v>1461</v>
      </c>
      <c r="D361" s="10" t="s">
        <v>2101</v>
      </c>
      <c r="E361" s="10" t="s">
        <v>1463</v>
      </c>
    </row>
    <row r="362" customFormat="false" ht="75" hidden="false" customHeight="true" outlineLevel="0" collapsed="false">
      <c r="A362" s="10" t="s">
        <v>2102</v>
      </c>
      <c r="B362" s="10" t="s">
        <v>2103</v>
      </c>
      <c r="C362" s="10" t="s">
        <v>1461</v>
      </c>
      <c r="D362" s="10" t="s">
        <v>2104</v>
      </c>
      <c r="E362" s="10" t="s">
        <v>1463</v>
      </c>
    </row>
    <row r="363" customFormat="false" ht="75" hidden="false" customHeight="true" outlineLevel="0" collapsed="false">
      <c r="A363" s="10" t="s">
        <v>2105</v>
      </c>
      <c r="B363" s="10" t="s">
        <v>2106</v>
      </c>
      <c r="C363" s="10" t="s">
        <v>1461</v>
      </c>
      <c r="D363" s="10" t="s">
        <v>2107</v>
      </c>
      <c r="E363" s="10" t="s">
        <v>1463</v>
      </c>
    </row>
    <row r="364" customFormat="false" ht="75" hidden="false" customHeight="true" outlineLevel="0" collapsed="false">
      <c r="A364" s="10" t="s">
        <v>2108</v>
      </c>
      <c r="B364" s="10" t="s">
        <v>2109</v>
      </c>
      <c r="C364" s="10" t="s">
        <v>1461</v>
      </c>
      <c r="D364" s="10" t="s">
        <v>1787</v>
      </c>
      <c r="E364" s="10" t="s">
        <v>1463</v>
      </c>
    </row>
    <row r="365" customFormat="false" ht="75" hidden="false" customHeight="true" outlineLevel="0" collapsed="false">
      <c r="A365" s="10" t="s">
        <v>2110</v>
      </c>
      <c r="B365" s="10" t="s">
        <v>2111</v>
      </c>
      <c r="C365" s="10" t="s">
        <v>1461</v>
      </c>
      <c r="D365" s="10" t="s">
        <v>2112</v>
      </c>
      <c r="E365" s="10" t="s">
        <v>1463</v>
      </c>
    </row>
    <row r="366" customFormat="false" ht="75" hidden="false" customHeight="true" outlineLevel="0" collapsed="false">
      <c r="A366" s="10" t="s">
        <v>2113</v>
      </c>
      <c r="B366" s="10" t="s">
        <v>2114</v>
      </c>
      <c r="C366" s="10" t="s">
        <v>1461</v>
      </c>
      <c r="D366" s="10" t="s">
        <v>2115</v>
      </c>
      <c r="E366" s="10" t="s">
        <v>1463</v>
      </c>
    </row>
    <row r="367" customFormat="false" ht="75" hidden="false" customHeight="true" outlineLevel="0" collapsed="false">
      <c r="A367" s="10" t="s">
        <v>2116</v>
      </c>
      <c r="B367" s="10" t="s">
        <v>2117</v>
      </c>
      <c r="C367" s="10" t="s">
        <v>1461</v>
      </c>
      <c r="D367" s="10" t="s">
        <v>2118</v>
      </c>
      <c r="E367" s="10" t="s">
        <v>1463</v>
      </c>
    </row>
    <row r="368" customFormat="false" ht="75" hidden="false" customHeight="true" outlineLevel="0" collapsed="false">
      <c r="A368" s="10" t="s">
        <v>2119</v>
      </c>
      <c r="B368" s="10" t="s">
        <v>2120</v>
      </c>
      <c r="C368" s="10" t="s">
        <v>1461</v>
      </c>
      <c r="D368" s="10" t="s">
        <v>2121</v>
      </c>
      <c r="E368" s="10" t="s">
        <v>1463</v>
      </c>
    </row>
    <row r="369" customFormat="false" ht="75" hidden="false" customHeight="true" outlineLevel="0" collapsed="false">
      <c r="A369" s="10" t="s">
        <v>2122</v>
      </c>
      <c r="B369" s="10" t="s">
        <v>2123</v>
      </c>
      <c r="C369" s="10" t="s">
        <v>1461</v>
      </c>
      <c r="D369" s="10" t="s">
        <v>2124</v>
      </c>
      <c r="E369" s="10" t="s">
        <v>1463</v>
      </c>
    </row>
    <row r="370" customFormat="false" ht="75" hidden="false" customHeight="true" outlineLevel="0" collapsed="false">
      <c r="A370" s="10" t="s">
        <v>2125</v>
      </c>
      <c r="B370" s="10" t="s">
        <v>2126</v>
      </c>
      <c r="C370" s="10" t="s">
        <v>1461</v>
      </c>
      <c r="D370" s="10" t="s">
        <v>2127</v>
      </c>
      <c r="E370" s="10" t="s">
        <v>1463</v>
      </c>
    </row>
    <row r="371" customFormat="false" ht="75" hidden="false" customHeight="true" outlineLevel="0" collapsed="false">
      <c r="A371" s="10" t="s">
        <v>2128</v>
      </c>
      <c r="B371" s="10" t="s">
        <v>2129</v>
      </c>
      <c r="C371" s="10" t="s">
        <v>1461</v>
      </c>
      <c r="D371" s="10" t="s">
        <v>2130</v>
      </c>
      <c r="E371" s="10" t="s">
        <v>1463</v>
      </c>
    </row>
    <row r="372" customFormat="false" ht="75" hidden="false" customHeight="true" outlineLevel="0" collapsed="false">
      <c r="A372" s="10" t="s">
        <v>2131</v>
      </c>
      <c r="B372" s="10" t="s">
        <v>2132</v>
      </c>
      <c r="C372" s="10" t="s">
        <v>1461</v>
      </c>
      <c r="D372" s="10" t="s">
        <v>2133</v>
      </c>
      <c r="E372" s="10" t="s">
        <v>1463</v>
      </c>
    </row>
    <row r="373" customFormat="false" ht="75" hidden="false" customHeight="true" outlineLevel="0" collapsed="false">
      <c r="A373" s="10" t="s">
        <v>2134</v>
      </c>
      <c r="B373" s="10" t="s">
        <v>2135</v>
      </c>
      <c r="C373" s="10" t="s">
        <v>1461</v>
      </c>
      <c r="D373" s="10" t="s">
        <v>2136</v>
      </c>
      <c r="E373" s="10" t="s">
        <v>1463</v>
      </c>
    </row>
    <row r="374" customFormat="false" ht="75" hidden="false" customHeight="true" outlineLevel="0" collapsed="false">
      <c r="A374" s="10" t="s">
        <v>2137</v>
      </c>
      <c r="B374" s="10" t="s">
        <v>2138</v>
      </c>
      <c r="C374" s="10" t="s">
        <v>1461</v>
      </c>
      <c r="D374" s="10" t="s">
        <v>2139</v>
      </c>
      <c r="E374" s="10" t="s">
        <v>1463</v>
      </c>
    </row>
    <row r="375" customFormat="false" ht="75" hidden="false" customHeight="true" outlineLevel="0" collapsed="false">
      <c r="A375" s="10" t="s">
        <v>2140</v>
      </c>
      <c r="B375" s="10" t="s">
        <v>2141</v>
      </c>
      <c r="C375" s="10" t="s">
        <v>1461</v>
      </c>
      <c r="D375" s="10" t="s">
        <v>2142</v>
      </c>
      <c r="E375" s="10" t="s">
        <v>1463</v>
      </c>
    </row>
    <row r="376" customFormat="false" ht="75" hidden="false" customHeight="true" outlineLevel="0" collapsed="false">
      <c r="A376" s="10" t="s">
        <v>2143</v>
      </c>
      <c r="B376" s="10" t="s">
        <v>2144</v>
      </c>
      <c r="C376" s="10" t="s">
        <v>1461</v>
      </c>
      <c r="D376" s="10" t="s">
        <v>2145</v>
      </c>
      <c r="E376" s="10" t="s">
        <v>1463</v>
      </c>
    </row>
    <row r="377" customFormat="false" ht="75" hidden="false" customHeight="true" outlineLevel="0" collapsed="false">
      <c r="A377" s="10" t="s">
        <v>2146</v>
      </c>
      <c r="B377" s="10" t="s">
        <v>2147</v>
      </c>
      <c r="C377" s="10" t="s">
        <v>1461</v>
      </c>
      <c r="D377" s="10" t="s">
        <v>2145</v>
      </c>
      <c r="E377" s="10" t="s">
        <v>1463</v>
      </c>
    </row>
    <row r="378" customFormat="false" ht="75" hidden="false" customHeight="true" outlineLevel="0" collapsed="false">
      <c r="A378" s="10" t="s">
        <v>2148</v>
      </c>
      <c r="B378" s="10" t="s">
        <v>2149</v>
      </c>
      <c r="C378" s="10" t="s">
        <v>1461</v>
      </c>
      <c r="D378" s="10" t="s">
        <v>2150</v>
      </c>
      <c r="E378" s="10" t="s">
        <v>1463</v>
      </c>
    </row>
    <row r="379" customFormat="false" ht="75" hidden="false" customHeight="true" outlineLevel="0" collapsed="false">
      <c r="A379" s="10" t="s">
        <v>2151</v>
      </c>
      <c r="B379" s="10" t="s">
        <v>2152</v>
      </c>
      <c r="C379" s="10" t="s">
        <v>1461</v>
      </c>
      <c r="D379" s="10" t="s">
        <v>2153</v>
      </c>
      <c r="E379" s="10" t="s">
        <v>1463</v>
      </c>
    </row>
    <row r="380" customFormat="false" ht="75" hidden="false" customHeight="true" outlineLevel="0" collapsed="false">
      <c r="A380" s="10" t="s">
        <v>2154</v>
      </c>
      <c r="B380" s="10" t="s">
        <v>2155</v>
      </c>
      <c r="C380" s="10" t="s">
        <v>1461</v>
      </c>
      <c r="D380" s="10" t="s">
        <v>2156</v>
      </c>
      <c r="E380" s="10" t="s">
        <v>1463</v>
      </c>
    </row>
    <row r="381" customFormat="false" ht="75" hidden="false" customHeight="true" outlineLevel="0" collapsed="false">
      <c r="A381" s="10" t="s">
        <v>2157</v>
      </c>
      <c r="B381" s="10" t="s">
        <v>2158</v>
      </c>
      <c r="C381" s="10" t="s">
        <v>1461</v>
      </c>
      <c r="D381" s="10" t="s">
        <v>2159</v>
      </c>
      <c r="E381" s="10" t="s">
        <v>1463</v>
      </c>
    </row>
    <row r="382" customFormat="false" ht="75" hidden="false" customHeight="true" outlineLevel="0" collapsed="false">
      <c r="A382" s="10" t="s">
        <v>2160</v>
      </c>
      <c r="B382" s="10" t="s">
        <v>2161</v>
      </c>
      <c r="C382" s="10" t="s">
        <v>1461</v>
      </c>
      <c r="D382" s="10" t="s">
        <v>2162</v>
      </c>
      <c r="E382" s="10" t="s">
        <v>1463</v>
      </c>
    </row>
    <row r="383" customFormat="false" ht="75" hidden="false" customHeight="true" outlineLevel="0" collapsed="false">
      <c r="A383" s="10" t="s">
        <v>2163</v>
      </c>
      <c r="B383" s="10" t="s">
        <v>2164</v>
      </c>
      <c r="C383" s="10" t="s">
        <v>1461</v>
      </c>
      <c r="D383" s="10" t="s">
        <v>2165</v>
      </c>
      <c r="E383" s="10" t="s">
        <v>1463</v>
      </c>
    </row>
    <row r="384" customFormat="false" ht="75" hidden="false" customHeight="true" outlineLevel="0" collapsed="false">
      <c r="A384" s="10" t="s">
        <v>2166</v>
      </c>
      <c r="B384" s="10" t="s">
        <v>2167</v>
      </c>
      <c r="C384" s="10" t="s">
        <v>1461</v>
      </c>
      <c r="D384" s="10" t="s">
        <v>2168</v>
      </c>
      <c r="E384" s="10" t="s">
        <v>1463</v>
      </c>
    </row>
    <row r="385" customFormat="false" ht="75" hidden="false" customHeight="true" outlineLevel="0" collapsed="false">
      <c r="A385" s="10" t="s">
        <v>2169</v>
      </c>
      <c r="B385" s="10" t="s">
        <v>2170</v>
      </c>
      <c r="C385" s="10" t="s">
        <v>1461</v>
      </c>
      <c r="D385" s="10" t="s">
        <v>2171</v>
      </c>
      <c r="E385" s="10" t="s">
        <v>1463</v>
      </c>
    </row>
    <row r="386" customFormat="false" ht="75" hidden="false" customHeight="true" outlineLevel="0" collapsed="false">
      <c r="A386" s="10" t="s">
        <v>2172</v>
      </c>
      <c r="B386" s="10" t="s">
        <v>2173</v>
      </c>
      <c r="C386" s="10" t="s">
        <v>1461</v>
      </c>
      <c r="D386" s="10" t="s">
        <v>2174</v>
      </c>
      <c r="E386" s="10" t="s">
        <v>1463</v>
      </c>
    </row>
    <row r="387" customFormat="false" ht="75" hidden="false" customHeight="true" outlineLevel="0" collapsed="false">
      <c r="A387" s="10" t="s">
        <v>2175</v>
      </c>
      <c r="B387" s="10" t="s">
        <v>2176</v>
      </c>
      <c r="C387" s="10" t="s">
        <v>1461</v>
      </c>
      <c r="D387" s="10" t="s">
        <v>1844</v>
      </c>
      <c r="E387" s="10" t="s">
        <v>1463</v>
      </c>
    </row>
    <row r="388" customFormat="false" ht="75" hidden="false" customHeight="true" outlineLevel="0" collapsed="false">
      <c r="A388" s="10" t="s">
        <v>2177</v>
      </c>
      <c r="B388" s="10" t="s">
        <v>2178</v>
      </c>
      <c r="C388" s="10" t="s">
        <v>1461</v>
      </c>
      <c r="D388" s="10" t="s">
        <v>2179</v>
      </c>
      <c r="E388" s="10" t="s">
        <v>1463</v>
      </c>
    </row>
    <row r="389" customFormat="false" ht="75" hidden="false" customHeight="true" outlineLevel="0" collapsed="false">
      <c r="A389" s="10" t="s">
        <v>2180</v>
      </c>
      <c r="B389" s="10" t="s">
        <v>2181</v>
      </c>
      <c r="C389" s="10" t="s">
        <v>1461</v>
      </c>
      <c r="D389" s="10" t="s">
        <v>2182</v>
      </c>
      <c r="E389" s="10" t="s">
        <v>1463</v>
      </c>
    </row>
    <row r="390" customFormat="false" ht="75" hidden="false" customHeight="true" outlineLevel="0" collapsed="false">
      <c r="A390" s="10" t="s">
        <v>2183</v>
      </c>
      <c r="B390" s="10" t="s">
        <v>2184</v>
      </c>
      <c r="C390" s="10" t="s">
        <v>1461</v>
      </c>
      <c r="D390" s="10" t="s">
        <v>2185</v>
      </c>
      <c r="E390" s="10" t="s">
        <v>1463</v>
      </c>
    </row>
    <row r="391" customFormat="false" ht="75" hidden="false" customHeight="true" outlineLevel="0" collapsed="false">
      <c r="A391" s="10" t="s">
        <v>2186</v>
      </c>
      <c r="B391" s="10" t="s">
        <v>2187</v>
      </c>
      <c r="C391" s="10" t="s">
        <v>1461</v>
      </c>
      <c r="D391" s="10" t="s">
        <v>2188</v>
      </c>
      <c r="E391" s="10" t="s">
        <v>1463</v>
      </c>
    </row>
    <row r="392" customFormat="false" ht="75" hidden="false" customHeight="true" outlineLevel="0" collapsed="false">
      <c r="A392" s="10" t="s">
        <v>2189</v>
      </c>
      <c r="B392" s="10" t="s">
        <v>2190</v>
      </c>
      <c r="C392" s="10" t="s">
        <v>1461</v>
      </c>
      <c r="D392" s="10" t="s">
        <v>2191</v>
      </c>
      <c r="E392" s="10" t="s">
        <v>1463</v>
      </c>
    </row>
    <row r="393" customFormat="false" ht="75" hidden="false" customHeight="true" outlineLevel="0" collapsed="false">
      <c r="A393" s="10" t="s">
        <v>2192</v>
      </c>
      <c r="B393" s="10" t="s">
        <v>2193</v>
      </c>
      <c r="C393" s="10" t="s">
        <v>1461</v>
      </c>
      <c r="D393" s="10" t="s">
        <v>2194</v>
      </c>
      <c r="E393" s="10" t="s">
        <v>1463</v>
      </c>
    </row>
    <row r="394" customFormat="false" ht="75" hidden="false" customHeight="true" outlineLevel="0" collapsed="false">
      <c r="A394" s="10" t="s">
        <v>2195</v>
      </c>
      <c r="B394" s="10" t="s">
        <v>2196</v>
      </c>
      <c r="C394" s="10" t="s">
        <v>1461</v>
      </c>
      <c r="D394" s="10" t="s">
        <v>2197</v>
      </c>
      <c r="E394" s="10" t="s">
        <v>1463</v>
      </c>
    </row>
    <row r="395" customFormat="false" ht="75" hidden="false" customHeight="true" outlineLevel="0" collapsed="false">
      <c r="A395" s="10" t="s">
        <v>2198</v>
      </c>
      <c r="B395" s="10" t="s">
        <v>2199</v>
      </c>
      <c r="C395" s="10" t="s">
        <v>1461</v>
      </c>
      <c r="D395" s="10" t="s">
        <v>2200</v>
      </c>
      <c r="E395" s="10" t="s">
        <v>1463</v>
      </c>
    </row>
    <row r="396" customFormat="false" ht="75" hidden="false" customHeight="true" outlineLevel="0" collapsed="false">
      <c r="A396" s="10" t="s">
        <v>2201</v>
      </c>
      <c r="B396" s="10" t="s">
        <v>2202</v>
      </c>
      <c r="C396" s="10" t="s">
        <v>1461</v>
      </c>
      <c r="D396" s="10" t="s">
        <v>2203</v>
      </c>
      <c r="E396" s="10" t="s">
        <v>1463</v>
      </c>
    </row>
    <row r="397" customFormat="false" ht="75" hidden="false" customHeight="true" outlineLevel="0" collapsed="false">
      <c r="A397" s="10" t="s">
        <v>2204</v>
      </c>
      <c r="B397" s="10" t="s">
        <v>2205</v>
      </c>
      <c r="C397" s="10" t="s">
        <v>1461</v>
      </c>
      <c r="D397" s="10" t="s">
        <v>2206</v>
      </c>
      <c r="E397" s="10" t="s">
        <v>1463</v>
      </c>
    </row>
    <row r="398" customFormat="false" ht="75" hidden="false" customHeight="true" outlineLevel="0" collapsed="false">
      <c r="A398" s="10" t="s">
        <v>2207</v>
      </c>
      <c r="B398" s="10" t="s">
        <v>2208</v>
      </c>
      <c r="C398" s="10" t="s">
        <v>1461</v>
      </c>
      <c r="D398" s="10" t="s">
        <v>2209</v>
      </c>
      <c r="E398" s="10" t="s">
        <v>1463</v>
      </c>
    </row>
    <row r="399" customFormat="false" ht="75" hidden="false" customHeight="true" outlineLevel="0" collapsed="false">
      <c r="A399" s="10" t="s">
        <v>2210</v>
      </c>
      <c r="B399" s="10" t="s">
        <v>2211</v>
      </c>
      <c r="C399" s="10" t="s">
        <v>1461</v>
      </c>
      <c r="D399" s="10" t="s">
        <v>2212</v>
      </c>
      <c r="E399" s="10" t="s">
        <v>1463</v>
      </c>
    </row>
    <row r="400" customFormat="false" ht="75" hidden="false" customHeight="true" outlineLevel="0" collapsed="false">
      <c r="A400" s="10" t="s">
        <v>2213</v>
      </c>
      <c r="B400" s="10" t="s">
        <v>2214</v>
      </c>
      <c r="C400" s="10" t="s">
        <v>1461</v>
      </c>
      <c r="D400" s="10" t="s">
        <v>2215</v>
      </c>
      <c r="E400" s="10" t="s">
        <v>1463</v>
      </c>
    </row>
    <row r="401" customFormat="false" ht="75" hidden="false" customHeight="true" outlineLevel="0" collapsed="false">
      <c r="A401" s="10" t="s">
        <v>2216</v>
      </c>
      <c r="B401" s="10" t="s">
        <v>2217</v>
      </c>
      <c r="C401" s="10" t="s">
        <v>1461</v>
      </c>
      <c r="D401" s="10" t="s">
        <v>2218</v>
      </c>
      <c r="E401" s="10" t="s">
        <v>1463</v>
      </c>
    </row>
    <row r="402" customFormat="false" ht="75" hidden="false" customHeight="true" outlineLevel="0" collapsed="false">
      <c r="A402" s="10" t="s">
        <v>2219</v>
      </c>
      <c r="B402" s="10" t="s">
        <v>2220</v>
      </c>
      <c r="C402" s="10" t="s">
        <v>1461</v>
      </c>
      <c r="D402" s="10" t="s">
        <v>2221</v>
      </c>
      <c r="E402" s="10" t="s">
        <v>1463</v>
      </c>
    </row>
    <row r="403" customFormat="false" ht="75" hidden="false" customHeight="true" outlineLevel="0" collapsed="false">
      <c r="A403" s="10" t="s">
        <v>2222</v>
      </c>
      <c r="B403" s="10" t="s">
        <v>2223</v>
      </c>
      <c r="C403" s="10" t="s">
        <v>1461</v>
      </c>
      <c r="D403" s="10" t="s">
        <v>2224</v>
      </c>
      <c r="E403" s="10" t="s">
        <v>1463</v>
      </c>
    </row>
    <row r="404" customFormat="false" ht="75" hidden="false" customHeight="true" outlineLevel="0" collapsed="false">
      <c r="A404" s="10" t="s">
        <v>2225</v>
      </c>
      <c r="B404" s="10" t="s">
        <v>2226</v>
      </c>
      <c r="C404" s="10" t="s">
        <v>1461</v>
      </c>
      <c r="D404" s="10" t="s">
        <v>1940</v>
      </c>
      <c r="E404" s="10" t="s">
        <v>1463</v>
      </c>
    </row>
    <row r="405" customFormat="false" ht="75" hidden="false" customHeight="true" outlineLevel="0" collapsed="false">
      <c r="A405" s="10" t="s">
        <v>2227</v>
      </c>
      <c r="B405" s="10" t="s">
        <v>2228</v>
      </c>
      <c r="C405" s="10" t="s">
        <v>1461</v>
      </c>
      <c r="D405" s="10" t="s">
        <v>1520</v>
      </c>
      <c r="E405" s="10" t="s">
        <v>1463</v>
      </c>
    </row>
    <row r="406" customFormat="false" ht="75" hidden="false" customHeight="true" outlineLevel="0" collapsed="false">
      <c r="A406" s="10" t="s">
        <v>2229</v>
      </c>
      <c r="B406" s="10" t="s">
        <v>2230</v>
      </c>
      <c r="C406" s="10" t="s">
        <v>1461</v>
      </c>
      <c r="D406" s="10" t="s">
        <v>2231</v>
      </c>
      <c r="E406" s="10" t="s">
        <v>1463</v>
      </c>
    </row>
    <row r="407" customFormat="false" ht="75" hidden="false" customHeight="true" outlineLevel="0" collapsed="false">
      <c r="A407" s="10" t="s">
        <v>2232</v>
      </c>
      <c r="B407" s="10" t="s">
        <v>2233</v>
      </c>
      <c r="C407" s="10" t="s">
        <v>1461</v>
      </c>
      <c r="D407" s="10" t="s">
        <v>1606</v>
      </c>
      <c r="E407" s="10" t="s">
        <v>1463</v>
      </c>
    </row>
    <row r="408" customFormat="false" ht="75" hidden="false" customHeight="true" outlineLevel="0" collapsed="false">
      <c r="A408" s="10" t="s">
        <v>2234</v>
      </c>
      <c r="B408" s="10" t="s">
        <v>2235</v>
      </c>
      <c r="C408" s="10" t="s">
        <v>1461</v>
      </c>
      <c r="D408" s="10" t="s">
        <v>2236</v>
      </c>
      <c r="E408" s="10" t="s">
        <v>1463</v>
      </c>
    </row>
    <row r="409" customFormat="false" ht="75" hidden="false" customHeight="true" outlineLevel="0" collapsed="false">
      <c r="A409" s="10" t="s">
        <v>2237</v>
      </c>
      <c r="B409" s="10" t="s">
        <v>2238</v>
      </c>
      <c r="C409" s="10" t="s">
        <v>1461</v>
      </c>
      <c r="D409" s="10" t="s">
        <v>2239</v>
      </c>
      <c r="E409" s="10" t="s">
        <v>1463</v>
      </c>
    </row>
    <row r="410" customFormat="false" ht="75" hidden="false" customHeight="true" outlineLevel="0" collapsed="false">
      <c r="A410" s="10" t="s">
        <v>2240</v>
      </c>
      <c r="B410" s="10" t="s">
        <v>2241</v>
      </c>
      <c r="C410" s="10" t="s">
        <v>1461</v>
      </c>
      <c r="D410" s="10" t="s">
        <v>2242</v>
      </c>
      <c r="E410" s="10" t="s">
        <v>1463</v>
      </c>
    </row>
    <row r="411" customFormat="false" ht="75" hidden="false" customHeight="true" outlineLevel="0" collapsed="false">
      <c r="A411" s="10" t="s">
        <v>2243</v>
      </c>
      <c r="B411" s="10" t="s">
        <v>2244</v>
      </c>
      <c r="C411" s="10" t="s">
        <v>1461</v>
      </c>
      <c r="D411" s="10" t="s">
        <v>2245</v>
      </c>
      <c r="E411" s="10" t="s">
        <v>1463</v>
      </c>
    </row>
    <row r="412" customFormat="false" ht="75" hidden="false" customHeight="true" outlineLevel="0" collapsed="false">
      <c r="A412" s="10" t="s">
        <v>2246</v>
      </c>
      <c r="B412" s="10" t="s">
        <v>2247</v>
      </c>
      <c r="C412" s="10" t="s">
        <v>1461</v>
      </c>
      <c r="D412" s="10" t="s">
        <v>1741</v>
      </c>
      <c r="E412" s="10" t="s">
        <v>1463</v>
      </c>
    </row>
    <row r="413" customFormat="false" ht="75" hidden="false" customHeight="true" outlineLevel="0" collapsed="false">
      <c r="A413" s="10" t="s">
        <v>2248</v>
      </c>
      <c r="B413" s="10" t="s">
        <v>2249</v>
      </c>
      <c r="C413" s="10" t="s">
        <v>1461</v>
      </c>
      <c r="D413" s="10" t="s">
        <v>2250</v>
      </c>
      <c r="E413" s="10" t="s">
        <v>1463</v>
      </c>
    </row>
    <row r="414" customFormat="false" ht="75" hidden="false" customHeight="true" outlineLevel="0" collapsed="false">
      <c r="A414" s="10" t="s">
        <v>2251</v>
      </c>
      <c r="B414" s="10" t="s">
        <v>2252</v>
      </c>
      <c r="C414" s="10" t="s">
        <v>1461</v>
      </c>
      <c r="D414" s="10" t="s">
        <v>2253</v>
      </c>
      <c r="E414" s="10" t="s">
        <v>1463</v>
      </c>
    </row>
    <row r="415" customFormat="false" ht="75" hidden="false" customHeight="true" outlineLevel="0" collapsed="false">
      <c r="A415" s="10" t="s">
        <v>2254</v>
      </c>
      <c r="B415" s="10" t="s">
        <v>2255</v>
      </c>
      <c r="C415" s="10" t="s">
        <v>1461</v>
      </c>
      <c r="D415" s="10" t="s">
        <v>2256</v>
      </c>
      <c r="E415" s="10" t="s">
        <v>1463</v>
      </c>
    </row>
    <row r="416" customFormat="false" ht="75" hidden="false" customHeight="true" outlineLevel="0" collapsed="false">
      <c r="A416" s="10" t="s">
        <v>2257</v>
      </c>
      <c r="B416" s="10" t="s">
        <v>2258</v>
      </c>
      <c r="C416" s="10" t="s">
        <v>1461</v>
      </c>
      <c r="D416" s="10" t="s">
        <v>2259</v>
      </c>
      <c r="E416" s="10" t="s">
        <v>1463</v>
      </c>
    </row>
    <row r="417" customFormat="false" ht="75" hidden="false" customHeight="true" outlineLevel="0" collapsed="false">
      <c r="A417" s="10" t="s">
        <v>2260</v>
      </c>
      <c r="B417" s="10" t="s">
        <v>2261</v>
      </c>
      <c r="C417" s="10" t="s">
        <v>1461</v>
      </c>
      <c r="D417" s="10" t="s">
        <v>2262</v>
      </c>
      <c r="E417" s="10" t="s">
        <v>1463</v>
      </c>
    </row>
    <row r="418" customFormat="false" ht="75" hidden="false" customHeight="true" outlineLevel="0" collapsed="false">
      <c r="A418" s="10" t="s">
        <v>2263</v>
      </c>
      <c r="B418" s="10" t="s">
        <v>2264</v>
      </c>
      <c r="C418" s="10" t="s">
        <v>1461</v>
      </c>
      <c r="D418" s="10" t="s">
        <v>2265</v>
      </c>
      <c r="E418" s="10" t="s">
        <v>1463</v>
      </c>
    </row>
    <row r="419" customFormat="false" ht="75" hidden="false" customHeight="true" outlineLevel="0" collapsed="false">
      <c r="A419" s="10" t="s">
        <v>2266</v>
      </c>
      <c r="B419" s="10" t="s">
        <v>2267</v>
      </c>
      <c r="C419" s="10" t="s">
        <v>1461</v>
      </c>
      <c r="D419" s="10" t="s">
        <v>2268</v>
      </c>
      <c r="E419" s="10" t="s">
        <v>1463</v>
      </c>
    </row>
    <row r="420" customFormat="false" ht="75" hidden="false" customHeight="true" outlineLevel="0" collapsed="false">
      <c r="A420" s="10" t="s">
        <v>2269</v>
      </c>
      <c r="B420" s="10" t="s">
        <v>2270</v>
      </c>
      <c r="C420" s="10" t="s">
        <v>1461</v>
      </c>
      <c r="D420" s="10" t="s">
        <v>1478</v>
      </c>
      <c r="E420" s="10" t="s">
        <v>1463</v>
      </c>
    </row>
    <row r="421" customFormat="false" ht="75" hidden="false" customHeight="true" outlineLevel="0" collapsed="false">
      <c r="A421" s="10" t="s">
        <v>2271</v>
      </c>
      <c r="B421" s="10" t="s">
        <v>2272</v>
      </c>
      <c r="C421" s="10" t="s">
        <v>1461</v>
      </c>
      <c r="D421" s="10" t="s">
        <v>2273</v>
      </c>
      <c r="E421" s="10" t="s">
        <v>1463</v>
      </c>
    </row>
    <row r="422" customFormat="false" ht="75" hidden="false" customHeight="true" outlineLevel="0" collapsed="false">
      <c r="A422" s="10" t="s">
        <v>2274</v>
      </c>
      <c r="B422" s="10" t="s">
        <v>2275</v>
      </c>
      <c r="C422" s="10" t="s">
        <v>1461</v>
      </c>
      <c r="D422" s="10" t="s">
        <v>2276</v>
      </c>
      <c r="E422" s="10" t="s">
        <v>1463</v>
      </c>
    </row>
    <row r="423" customFormat="false" ht="75" hidden="false" customHeight="true" outlineLevel="0" collapsed="false">
      <c r="A423" s="10" t="s">
        <v>2277</v>
      </c>
      <c r="B423" s="10" t="s">
        <v>2278</v>
      </c>
      <c r="C423" s="10" t="s">
        <v>1461</v>
      </c>
      <c r="D423" s="10" t="s">
        <v>2279</v>
      </c>
      <c r="E423" s="10" t="s">
        <v>1463</v>
      </c>
    </row>
    <row r="424" customFormat="false" ht="75" hidden="false" customHeight="true" outlineLevel="0" collapsed="false">
      <c r="A424" s="10" t="s">
        <v>2280</v>
      </c>
      <c r="B424" s="10" t="s">
        <v>2281</v>
      </c>
      <c r="C424" s="10" t="s">
        <v>1461</v>
      </c>
      <c r="D424" s="10" t="s">
        <v>2282</v>
      </c>
      <c r="E424" s="10" t="s">
        <v>1463</v>
      </c>
    </row>
    <row r="425" customFormat="false" ht="75" hidden="false" customHeight="true" outlineLevel="0" collapsed="false">
      <c r="A425" s="10" t="s">
        <v>2283</v>
      </c>
      <c r="B425" s="10" t="s">
        <v>2284</v>
      </c>
      <c r="C425" s="10" t="s">
        <v>1461</v>
      </c>
      <c r="D425" s="10" t="s">
        <v>1994</v>
      </c>
      <c r="E425" s="10" t="s">
        <v>1463</v>
      </c>
    </row>
    <row r="426" customFormat="false" ht="75" hidden="false" customHeight="true" outlineLevel="0" collapsed="false">
      <c r="A426" s="10" t="s">
        <v>2285</v>
      </c>
      <c r="B426" s="10" t="s">
        <v>2286</v>
      </c>
      <c r="C426" s="10" t="s">
        <v>1461</v>
      </c>
      <c r="D426" s="10" t="s">
        <v>2287</v>
      </c>
      <c r="E426" s="10" t="s">
        <v>1463</v>
      </c>
    </row>
    <row r="427" customFormat="false" ht="75" hidden="false" customHeight="true" outlineLevel="0" collapsed="false">
      <c r="A427" s="10" t="s">
        <v>2288</v>
      </c>
      <c r="B427" s="10" t="s">
        <v>2289</v>
      </c>
      <c r="C427" s="10" t="s">
        <v>1461</v>
      </c>
      <c r="D427" s="10" t="s">
        <v>2290</v>
      </c>
      <c r="E427" s="10" t="s">
        <v>1463</v>
      </c>
    </row>
    <row r="428" customFormat="false" ht="75" hidden="false" customHeight="true" outlineLevel="0" collapsed="false">
      <c r="A428" s="10" t="s">
        <v>2291</v>
      </c>
      <c r="B428" s="10" t="s">
        <v>2292</v>
      </c>
      <c r="C428" s="10" t="s">
        <v>1461</v>
      </c>
      <c r="D428" s="10" t="s">
        <v>2293</v>
      </c>
      <c r="E428" s="10" t="s">
        <v>1463</v>
      </c>
    </row>
    <row r="429" customFormat="false" ht="75" hidden="false" customHeight="true" outlineLevel="0" collapsed="false">
      <c r="A429" s="10" t="s">
        <v>2294</v>
      </c>
      <c r="B429" s="10" t="s">
        <v>2295</v>
      </c>
      <c r="C429" s="10" t="s">
        <v>1461</v>
      </c>
      <c r="D429" s="10" t="s">
        <v>2296</v>
      </c>
      <c r="E429" s="10" t="s">
        <v>1463</v>
      </c>
    </row>
    <row r="430" customFormat="false" ht="75" hidden="false" customHeight="true" outlineLevel="0" collapsed="false">
      <c r="A430" s="10" t="s">
        <v>2297</v>
      </c>
      <c r="B430" s="10" t="s">
        <v>2298</v>
      </c>
      <c r="C430" s="10" t="s">
        <v>1461</v>
      </c>
      <c r="D430" s="10" t="s">
        <v>2299</v>
      </c>
      <c r="E430" s="10" t="s">
        <v>1463</v>
      </c>
    </row>
    <row r="431" customFormat="false" ht="75" hidden="false" customHeight="true" outlineLevel="0" collapsed="false">
      <c r="A431" s="10" t="s">
        <v>2300</v>
      </c>
      <c r="B431" s="10" t="s">
        <v>2301</v>
      </c>
      <c r="C431" s="10" t="s">
        <v>1461</v>
      </c>
      <c r="D431" s="10" t="s">
        <v>2302</v>
      </c>
      <c r="E431" s="10" t="s">
        <v>1463</v>
      </c>
    </row>
    <row r="432" customFormat="false" ht="75" hidden="false" customHeight="true" outlineLevel="0" collapsed="false">
      <c r="A432" s="10" t="s">
        <v>2303</v>
      </c>
      <c r="B432" s="10" t="s">
        <v>2304</v>
      </c>
      <c r="C432" s="10" t="s">
        <v>1461</v>
      </c>
      <c r="D432" s="10" t="s">
        <v>2305</v>
      </c>
      <c r="E432" s="10" t="s">
        <v>1463</v>
      </c>
    </row>
    <row r="433" customFormat="false" ht="75" hidden="false" customHeight="true" outlineLevel="0" collapsed="false">
      <c r="A433" s="10" t="s">
        <v>2306</v>
      </c>
      <c r="B433" s="10" t="s">
        <v>2307</v>
      </c>
      <c r="C433" s="10" t="s">
        <v>1461</v>
      </c>
      <c r="D433" s="10" t="s">
        <v>2308</v>
      </c>
      <c r="E433" s="10" t="s">
        <v>1463</v>
      </c>
    </row>
    <row r="434" customFormat="false" ht="75" hidden="false" customHeight="true" outlineLevel="0" collapsed="false">
      <c r="A434" s="10" t="s">
        <v>2309</v>
      </c>
      <c r="B434" s="10" t="s">
        <v>2310</v>
      </c>
      <c r="C434" s="10" t="s">
        <v>1461</v>
      </c>
      <c r="D434" s="10" t="s">
        <v>2311</v>
      </c>
      <c r="E434" s="10" t="s">
        <v>1463</v>
      </c>
    </row>
    <row r="435" customFormat="false" ht="75" hidden="false" customHeight="true" outlineLevel="0" collapsed="false">
      <c r="A435" s="10" t="s">
        <v>2312</v>
      </c>
      <c r="B435" s="10" t="s">
        <v>2313</v>
      </c>
      <c r="C435" s="10" t="s">
        <v>1461</v>
      </c>
      <c r="D435" s="10" t="s">
        <v>2314</v>
      </c>
      <c r="E435" s="10" t="s">
        <v>1463</v>
      </c>
    </row>
    <row r="436" customFormat="false" ht="75" hidden="false" customHeight="true" outlineLevel="0" collapsed="false">
      <c r="A436" s="10" t="s">
        <v>2315</v>
      </c>
      <c r="B436" s="10" t="s">
        <v>2316</v>
      </c>
      <c r="C436" s="10" t="s">
        <v>1461</v>
      </c>
      <c r="D436" s="10" t="s">
        <v>1592</v>
      </c>
      <c r="E436" s="10" t="s">
        <v>1463</v>
      </c>
    </row>
    <row r="437" customFormat="false" ht="75" hidden="false" customHeight="true" outlineLevel="0" collapsed="false">
      <c r="A437" s="10" t="s">
        <v>2317</v>
      </c>
      <c r="B437" s="10" t="s">
        <v>2318</v>
      </c>
      <c r="C437" s="10" t="s">
        <v>1461</v>
      </c>
      <c r="D437" s="10" t="s">
        <v>2319</v>
      </c>
      <c r="E437" s="10" t="s">
        <v>1463</v>
      </c>
    </row>
    <row r="438" customFormat="false" ht="75" hidden="false" customHeight="true" outlineLevel="0" collapsed="false">
      <c r="A438" s="10" t="s">
        <v>2320</v>
      </c>
      <c r="B438" s="10" t="s">
        <v>2321</v>
      </c>
      <c r="C438" s="10" t="s">
        <v>1461</v>
      </c>
      <c r="D438" s="10" t="s">
        <v>1627</v>
      </c>
      <c r="E438" s="10" t="s">
        <v>1463</v>
      </c>
    </row>
    <row r="439" customFormat="false" ht="75" hidden="false" customHeight="true" outlineLevel="0" collapsed="false">
      <c r="A439" s="10" t="s">
        <v>2322</v>
      </c>
      <c r="B439" s="10" t="s">
        <v>2323</v>
      </c>
      <c r="C439" s="10" t="s">
        <v>1461</v>
      </c>
      <c r="D439" s="10" t="s">
        <v>2324</v>
      </c>
      <c r="E439" s="10" t="s">
        <v>1463</v>
      </c>
    </row>
    <row r="440" customFormat="false" ht="75" hidden="false" customHeight="true" outlineLevel="0" collapsed="false">
      <c r="A440" s="10" t="s">
        <v>2325</v>
      </c>
      <c r="B440" s="10" t="s">
        <v>2326</v>
      </c>
      <c r="C440" s="10" t="s">
        <v>1461</v>
      </c>
      <c r="D440" s="10" t="s">
        <v>2327</v>
      </c>
      <c r="E440" s="10" t="s">
        <v>1463</v>
      </c>
    </row>
    <row r="441" customFormat="false" ht="75" hidden="false" customHeight="true" outlineLevel="0" collapsed="false">
      <c r="A441" s="10" t="s">
        <v>2328</v>
      </c>
      <c r="B441" s="10" t="s">
        <v>2329</v>
      </c>
      <c r="C441" s="10" t="s">
        <v>1461</v>
      </c>
      <c r="D441" s="10" t="s">
        <v>2330</v>
      </c>
      <c r="E441" s="10" t="s">
        <v>1463</v>
      </c>
    </row>
    <row r="442" customFormat="false" ht="75" hidden="false" customHeight="true" outlineLevel="0" collapsed="false">
      <c r="A442" s="10" t="s">
        <v>2331</v>
      </c>
      <c r="B442" s="10" t="s">
        <v>2332</v>
      </c>
      <c r="C442" s="10" t="s">
        <v>1461</v>
      </c>
      <c r="D442" s="10" t="s">
        <v>2333</v>
      </c>
      <c r="E442" s="10" t="s">
        <v>1463</v>
      </c>
    </row>
    <row r="443" customFormat="false" ht="75" hidden="false" customHeight="true" outlineLevel="0" collapsed="false">
      <c r="A443" s="10" t="s">
        <v>2334</v>
      </c>
      <c r="B443" s="10" t="s">
        <v>2335</v>
      </c>
      <c r="C443" s="10" t="s">
        <v>1461</v>
      </c>
      <c r="D443" s="10" t="s">
        <v>1940</v>
      </c>
      <c r="E443" s="10" t="s">
        <v>1463</v>
      </c>
    </row>
    <row r="444" customFormat="false" ht="75" hidden="false" customHeight="true" outlineLevel="0" collapsed="false">
      <c r="A444" s="10" t="s">
        <v>2336</v>
      </c>
      <c r="B444" s="10" t="s">
        <v>2337</v>
      </c>
      <c r="C444" s="10" t="s">
        <v>1461</v>
      </c>
      <c r="D444" s="10" t="s">
        <v>2338</v>
      </c>
      <c r="E444" s="10" t="s">
        <v>1463</v>
      </c>
    </row>
    <row r="445" customFormat="false" ht="75" hidden="false" customHeight="true" outlineLevel="0" collapsed="false">
      <c r="A445" s="10" t="s">
        <v>2339</v>
      </c>
      <c r="B445" s="10" t="s">
        <v>2340</v>
      </c>
      <c r="C445" s="10" t="s">
        <v>1461</v>
      </c>
      <c r="D445" s="10" t="s">
        <v>2341</v>
      </c>
      <c r="E445" s="10" t="s">
        <v>1463</v>
      </c>
    </row>
    <row r="446" customFormat="false" ht="75" hidden="false" customHeight="true" outlineLevel="0" collapsed="false">
      <c r="A446" s="10" t="s">
        <v>2342</v>
      </c>
      <c r="B446" s="10" t="s">
        <v>2343</v>
      </c>
      <c r="C446" s="10" t="s">
        <v>1461</v>
      </c>
      <c r="D446" s="10" t="s">
        <v>2344</v>
      </c>
      <c r="E446" s="10" t="s">
        <v>1463</v>
      </c>
    </row>
    <row r="447" customFormat="false" ht="75" hidden="false" customHeight="true" outlineLevel="0" collapsed="false">
      <c r="A447" s="10" t="s">
        <v>2345</v>
      </c>
      <c r="B447" s="10" t="s">
        <v>2346</v>
      </c>
      <c r="C447" s="10" t="s">
        <v>1461</v>
      </c>
      <c r="D447" s="10" t="s">
        <v>2347</v>
      </c>
      <c r="E447" s="10" t="s">
        <v>1463</v>
      </c>
    </row>
    <row r="448" customFormat="false" ht="75" hidden="false" customHeight="true" outlineLevel="0" collapsed="false">
      <c r="A448" s="10" t="s">
        <v>2348</v>
      </c>
      <c r="B448" s="10" t="s">
        <v>2349</v>
      </c>
      <c r="C448" s="10" t="s">
        <v>1461</v>
      </c>
      <c r="D448" s="10" t="s">
        <v>2350</v>
      </c>
      <c r="E448" s="10" t="s">
        <v>1463</v>
      </c>
    </row>
    <row r="449" customFormat="false" ht="75" hidden="false" customHeight="true" outlineLevel="0" collapsed="false">
      <c r="A449" s="10" t="s">
        <v>2351</v>
      </c>
      <c r="B449" s="10" t="s">
        <v>2352</v>
      </c>
      <c r="C449" s="10" t="s">
        <v>1461</v>
      </c>
      <c r="D449" s="10" t="s">
        <v>2353</v>
      </c>
      <c r="E449" s="10" t="s">
        <v>1463</v>
      </c>
    </row>
    <row r="450" customFormat="false" ht="75" hidden="false" customHeight="true" outlineLevel="0" collapsed="false">
      <c r="A450" s="10" t="s">
        <v>2354</v>
      </c>
      <c r="B450" s="10" t="s">
        <v>2355</v>
      </c>
      <c r="C450" s="10" t="s">
        <v>1461</v>
      </c>
      <c r="D450" s="10" t="s">
        <v>2356</v>
      </c>
      <c r="E450" s="10" t="s">
        <v>1463</v>
      </c>
    </row>
    <row r="451" customFormat="false" ht="75" hidden="false" customHeight="true" outlineLevel="0" collapsed="false">
      <c r="A451" s="10" t="s">
        <v>2357</v>
      </c>
      <c r="B451" s="10" t="s">
        <v>2358</v>
      </c>
      <c r="C451" s="10" t="s">
        <v>1461</v>
      </c>
      <c r="D451" s="10" t="s">
        <v>2359</v>
      </c>
      <c r="E451" s="10" t="s">
        <v>1463</v>
      </c>
    </row>
    <row r="452" customFormat="false" ht="75" hidden="false" customHeight="true" outlineLevel="0" collapsed="false">
      <c r="A452" s="10" t="s">
        <v>2360</v>
      </c>
      <c r="B452" s="10" t="s">
        <v>2361</v>
      </c>
      <c r="C452" s="10" t="s">
        <v>1461</v>
      </c>
      <c r="D452" s="10" t="s">
        <v>2362</v>
      </c>
      <c r="E452" s="10" t="s">
        <v>1463</v>
      </c>
    </row>
    <row r="453" customFormat="false" ht="75" hidden="false" customHeight="true" outlineLevel="0" collapsed="false">
      <c r="A453" s="10" t="s">
        <v>2363</v>
      </c>
      <c r="B453" s="10" t="s">
        <v>2364</v>
      </c>
      <c r="C453" s="10" t="s">
        <v>1461</v>
      </c>
      <c r="D453" s="10" t="s">
        <v>2365</v>
      </c>
      <c r="E453" s="10" t="s">
        <v>1463</v>
      </c>
    </row>
    <row r="454" customFormat="false" ht="75" hidden="false" customHeight="true" outlineLevel="0" collapsed="false">
      <c r="A454" s="10" t="s">
        <v>2366</v>
      </c>
      <c r="B454" s="10" t="s">
        <v>2367</v>
      </c>
      <c r="C454" s="10" t="s">
        <v>1461</v>
      </c>
      <c r="D454" s="10" t="s">
        <v>2368</v>
      </c>
      <c r="E454" s="10" t="s">
        <v>1463</v>
      </c>
    </row>
    <row r="455" customFormat="false" ht="75" hidden="false" customHeight="true" outlineLevel="0" collapsed="false">
      <c r="A455" s="10" t="s">
        <v>2369</v>
      </c>
      <c r="B455" s="10" t="s">
        <v>2370</v>
      </c>
      <c r="C455" s="10" t="s">
        <v>1461</v>
      </c>
      <c r="D455" s="10" t="s">
        <v>1940</v>
      </c>
      <c r="E455" s="10" t="s">
        <v>1463</v>
      </c>
    </row>
    <row r="456" customFormat="false" ht="75" hidden="false" customHeight="true" outlineLevel="0" collapsed="false">
      <c r="A456" s="10" t="s">
        <v>2371</v>
      </c>
      <c r="B456" s="10" t="s">
        <v>2372</v>
      </c>
      <c r="C456" s="10" t="s">
        <v>1461</v>
      </c>
      <c r="D456" s="10" t="s">
        <v>2373</v>
      </c>
      <c r="E456" s="10" t="s">
        <v>1463</v>
      </c>
    </row>
    <row r="457" customFormat="false" ht="75" hidden="false" customHeight="true" outlineLevel="0" collapsed="false">
      <c r="A457" s="10" t="s">
        <v>2374</v>
      </c>
      <c r="B457" s="10" t="s">
        <v>2375</v>
      </c>
      <c r="C457" s="10" t="s">
        <v>1461</v>
      </c>
      <c r="D457" s="10" t="s">
        <v>2376</v>
      </c>
      <c r="E457" s="10" t="s">
        <v>1463</v>
      </c>
    </row>
    <row r="458" customFormat="false" ht="75" hidden="false" customHeight="true" outlineLevel="0" collapsed="false">
      <c r="A458" s="10" t="s">
        <v>2377</v>
      </c>
      <c r="B458" s="10" t="s">
        <v>2378</v>
      </c>
      <c r="C458" s="10" t="s">
        <v>1461</v>
      </c>
      <c r="D458" s="10" t="s">
        <v>2379</v>
      </c>
      <c r="E458" s="10" t="s">
        <v>1463</v>
      </c>
    </row>
    <row r="459" customFormat="false" ht="75" hidden="false" customHeight="true" outlineLevel="0" collapsed="false">
      <c r="A459" s="10" t="s">
        <v>2380</v>
      </c>
      <c r="B459" s="10" t="s">
        <v>2381</v>
      </c>
      <c r="C459" s="10" t="s">
        <v>1461</v>
      </c>
      <c r="D459" s="10" t="s">
        <v>1682</v>
      </c>
      <c r="E459" s="10" t="s">
        <v>1463</v>
      </c>
    </row>
    <row r="460" customFormat="false" ht="75" hidden="false" customHeight="true" outlineLevel="0" collapsed="false">
      <c r="A460" s="10" t="s">
        <v>2382</v>
      </c>
      <c r="B460" s="10" t="s">
        <v>2383</v>
      </c>
      <c r="C460" s="10" t="s">
        <v>1461</v>
      </c>
      <c r="D460" s="10" t="s">
        <v>2384</v>
      </c>
      <c r="E460" s="10" t="s">
        <v>1463</v>
      </c>
    </row>
    <row r="461" customFormat="false" ht="75" hidden="false" customHeight="true" outlineLevel="0" collapsed="false">
      <c r="A461" s="10" t="s">
        <v>2385</v>
      </c>
      <c r="B461" s="10" t="s">
        <v>2386</v>
      </c>
      <c r="C461" s="10" t="s">
        <v>1461</v>
      </c>
      <c r="D461" s="10" t="s">
        <v>2387</v>
      </c>
      <c r="E461" s="10" t="s">
        <v>1463</v>
      </c>
    </row>
    <row r="462" customFormat="false" ht="75" hidden="false" customHeight="true" outlineLevel="0" collapsed="false">
      <c r="A462" s="10" t="s">
        <v>2388</v>
      </c>
      <c r="B462" s="10" t="s">
        <v>2389</v>
      </c>
      <c r="C462" s="10" t="s">
        <v>1461</v>
      </c>
      <c r="D462" s="10" t="s">
        <v>2390</v>
      </c>
      <c r="E462" s="10" t="s">
        <v>1463</v>
      </c>
    </row>
    <row r="463" customFormat="false" ht="75" hidden="false" customHeight="true" outlineLevel="0" collapsed="false">
      <c r="A463" s="10" t="s">
        <v>2391</v>
      </c>
      <c r="B463" s="10" t="s">
        <v>2392</v>
      </c>
      <c r="C463" s="10" t="s">
        <v>1461</v>
      </c>
      <c r="D463" s="10" t="s">
        <v>1948</v>
      </c>
      <c r="E463" s="10" t="s">
        <v>1463</v>
      </c>
    </row>
    <row r="464" customFormat="false" ht="75" hidden="false" customHeight="true" outlineLevel="0" collapsed="false">
      <c r="A464" s="10" t="s">
        <v>2393</v>
      </c>
      <c r="B464" s="10" t="s">
        <v>2394</v>
      </c>
      <c r="C464" s="10" t="s">
        <v>1461</v>
      </c>
      <c r="D464" s="10" t="s">
        <v>2395</v>
      </c>
      <c r="E464" s="10" t="s">
        <v>1463</v>
      </c>
    </row>
    <row r="465" customFormat="false" ht="75" hidden="false" customHeight="true" outlineLevel="0" collapsed="false">
      <c r="A465" s="10" t="s">
        <v>2396</v>
      </c>
      <c r="B465" s="10" t="s">
        <v>2397</v>
      </c>
      <c r="C465" s="10" t="s">
        <v>1461</v>
      </c>
      <c r="D465" s="10" t="s">
        <v>2398</v>
      </c>
      <c r="E465" s="10" t="s">
        <v>1463</v>
      </c>
    </row>
    <row r="466" customFormat="false" ht="75" hidden="false" customHeight="true" outlineLevel="0" collapsed="false">
      <c r="A466" s="10" t="s">
        <v>2399</v>
      </c>
      <c r="B466" s="10" t="s">
        <v>2400</v>
      </c>
      <c r="C466" s="10" t="s">
        <v>1461</v>
      </c>
      <c r="D466" s="10" t="s">
        <v>2401</v>
      </c>
      <c r="E466" s="10" t="s">
        <v>1463</v>
      </c>
    </row>
    <row r="467" customFormat="false" ht="75" hidden="false" customHeight="true" outlineLevel="0" collapsed="false">
      <c r="A467" s="10" t="s">
        <v>2402</v>
      </c>
      <c r="B467" s="10" t="s">
        <v>2403</v>
      </c>
      <c r="C467" s="10" t="s">
        <v>1461</v>
      </c>
      <c r="D467" s="10" t="s">
        <v>2404</v>
      </c>
      <c r="E467" s="10" t="s">
        <v>1463</v>
      </c>
    </row>
    <row r="468" customFormat="false" ht="75" hidden="false" customHeight="true" outlineLevel="0" collapsed="false">
      <c r="A468" s="10" t="s">
        <v>2405</v>
      </c>
      <c r="B468" s="10" t="s">
        <v>2406</v>
      </c>
      <c r="C468" s="10" t="s">
        <v>1461</v>
      </c>
      <c r="D468" s="10" t="s">
        <v>2407</v>
      </c>
      <c r="E468" s="10" t="s">
        <v>1463</v>
      </c>
    </row>
    <row r="469" customFormat="false" ht="75" hidden="false" customHeight="true" outlineLevel="0" collapsed="false">
      <c r="A469" s="10" t="s">
        <v>2408</v>
      </c>
      <c r="B469" s="10" t="s">
        <v>2409</v>
      </c>
      <c r="C469" s="10" t="s">
        <v>1461</v>
      </c>
      <c r="D469" s="10" t="s">
        <v>2410</v>
      </c>
      <c r="E469" s="10" t="s">
        <v>1463</v>
      </c>
    </row>
    <row r="470" customFormat="false" ht="75" hidden="false" customHeight="true" outlineLevel="0" collapsed="false">
      <c r="A470" s="10" t="s">
        <v>2411</v>
      </c>
      <c r="B470" s="10" t="s">
        <v>2412</v>
      </c>
      <c r="C470" s="10" t="s">
        <v>1461</v>
      </c>
      <c r="D470" s="10" t="s">
        <v>2413</v>
      </c>
      <c r="E470" s="10" t="s">
        <v>1463</v>
      </c>
    </row>
    <row r="471" customFormat="false" ht="75" hidden="false" customHeight="true" outlineLevel="0" collapsed="false">
      <c r="A471" s="10" t="s">
        <v>2414</v>
      </c>
      <c r="B471" s="10" t="s">
        <v>2415</v>
      </c>
      <c r="C471" s="10" t="s">
        <v>1461</v>
      </c>
      <c r="D471" s="10" t="s">
        <v>2416</v>
      </c>
      <c r="E471" s="10" t="s">
        <v>1463</v>
      </c>
    </row>
    <row r="472" customFormat="false" ht="75" hidden="false" customHeight="true" outlineLevel="0" collapsed="false">
      <c r="A472" s="10" t="s">
        <v>2417</v>
      </c>
      <c r="B472" s="10" t="s">
        <v>2418</v>
      </c>
      <c r="C472" s="10" t="s">
        <v>1461</v>
      </c>
      <c r="D472" s="10" t="s">
        <v>2419</v>
      </c>
      <c r="E472" s="10" t="s">
        <v>1463</v>
      </c>
    </row>
    <row r="473" customFormat="false" ht="75" hidden="false" customHeight="true" outlineLevel="0" collapsed="false">
      <c r="A473" s="10" t="s">
        <v>2420</v>
      </c>
      <c r="B473" s="10" t="s">
        <v>2421</v>
      </c>
      <c r="C473" s="10" t="s">
        <v>1461</v>
      </c>
      <c r="D473" s="10" t="s">
        <v>2422</v>
      </c>
      <c r="E473" s="10" t="s">
        <v>1463</v>
      </c>
    </row>
    <row r="474" customFormat="false" ht="75" hidden="false" customHeight="true" outlineLevel="0" collapsed="false">
      <c r="A474" s="10" t="s">
        <v>2423</v>
      </c>
      <c r="B474" s="10" t="s">
        <v>2424</v>
      </c>
      <c r="C474" s="10" t="s">
        <v>1461</v>
      </c>
      <c r="D474" s="10" t="s">
        <v>1793</v>
      </c>
      <c r="E474" s="10" t="s">
        <v>1463</v>
      </c>
    </row>
    <row r="475" customFormat="false" ht="75" hidden="false" customHeight="true" outlineLevel="0" collapsed="false">
      <c r="A475" s="10" t="s">
        <v>2425</v>
      </c>
      <c r="B475" s="10" t="s">
        <v>2426</v>
      </c>
      <c r="C475" s="10" t="s">
        <v>1461</v>
      </c>
      <c r="D475" s="10" t="s">
        <v>2250</v>
      </c>
      <c r="E475" s="10" t="s">
        <v>1463</v>
      </c>
    </row>
    <row r="476" customFormat="false" ht="75" hidden="false" customHeight="true" outlineLevel="0" collapsed="false">
      <c r="A476" s="10" t="s">
        <v>2427</v>
      </c>
      <c r="B476" s="10" t="s">
        <v>2428</v>
      </c>
      <c r="C476" s="10" t="s">
        <v>1461</v>
      </c>
      <c r="D476" s="10" t="s">
        <v>2072</v>
      </c>
      <c r="E476" s="10" t="s">
        <v>1463</v>
      </c>
    </row>
    <row r="477" customFormat="false" ht="75" hidden="false" customHeight="true" outlineLevel="0" collapsed="false">
      <c r="A477" s="10" t="s">
        <v>2429</v>
      </c>
      <c r="B477" s="10" t="s">
        <v>2430</v>
      </c>
      <c r="C477" s="10" t="s">
        <v>1461</v>
      </c>
      <c r="D477" s="10" t="s">
        <v>2431</v>
      </c>
      <c r="E477" s="10" t="s">
        <v>1463</v>
      </c>
    </row>
    <row r="478" customFormat="false" ht="75" hidden="false" customHeight="true" outlineLevel="0" collapsed="false">
      <c r="A478" s="10" t="s">
        <v>2432</v>
      </c>
      <c r="B478" s="10" t="s">
        <v>2433</v>
      </c>
      <c r="C478" s="10" t="s">
        <v>1461</v>
      </c>
      <c r="D478" s="10" t="s">
        <v>2434</v>
      </c>
      <c r="E478" s="10" t="s">
        <v>1463</v>
      </c>
    </row>
    <row r="479" customFormat="false" ht="75" hidden="false" customHeight="true" outlineLevel="0" collapsed="false">
      <c r="A479" s="10" t="s">
        <v>2435</v>
      </c>
      <c r="B479" s="10" t="s">
        <v>2436</v>
      </c>
      <c r="C479" s="10" t="s">
        <v>1461</v>
      </c>
      <c r="D479" s="10" t="s">
        <v>2437</v>
      </c>
      <c r="E479" s="10" t="s">
        <v>1463</v>
      </c>
    </row>
    <row r="480" customFormat="false" ht="75" hidden="false" customHeight="true" outlineLevel="0" collapsed="false">
      <c r="A480" s="10" t="s">
        <v>2438</v>
      </c>
      <c r="B480" s="10" t="s">
        <v>2439</v>
      </c>
      <c r="C480" s="10" t="s">
        <v>1461</v>
      </c>
      <c r="D480" s="10" t="s">
        <v>2440</v>
      </c>
      <c r="E480" s="10" t="s">
        <v>1463</v>
      </c>
    </row>
    <row r="481" customFormat="false" ht="75" hidden="false" customHeight="true" outlineLevel="0" collapsed="false">
      <c r="A481" s="10" t="s">
        <v>2441</v>
      </c>
      <c r="B481" s="10" t="s">
        <v>2442</v>
      </c>
      <c r="C481" s="10" t="s">
        <v>1461</v>
      </c>
      <c r="D481" s="10" t="s">
        <v>1690</v>
      </c>
      <c r="E481" s="10" t="s">
        <v>1463</v>
      </c>
    </row>
    <row r="482" customFormat="false" ht="75" hidden="false" customHeight="true" outlineLevel="0" collapsed="false">
      <c r="A482" s="10" t="s">
        <v>2443</v>
      </c>
      <c r="B482" s="10" t="s">
        <v>2444</v>
      </c>
      <c r="C482" s="10" t="s">
        <v>1461</v>
      </c>
      <c r="D482" s="10" t="s">
        <v>2445</v>
      </c>
      <c r="E482" s="10" t="s">
        <v>1463</v>
      </c>
    </row>
    <row r="483" customFormat="false" ht="75" hidden="false" customHeight="true" outlineLevel="0" collapsed="false">
      <c r="A483" s="10" t="s">
        <v>2446</v>
      </c>
      <c r="B483" s="10" t="s">
        <v>2447</v>
      </c>
      <c r="C483" s="10" t="s">
        <v>1461</v>
      </c>
      <c r="D483" s="10" t="s">
        <v>2448</v>
      </c>
      <c r="E483" s="10" t="s">
        <v>1463</v>
      </c>
    </row>
    <row r="484" customFormat="false" ht="75" hidden="false" customHeight="true" outlineLevel="0" collapsed="false">
      <c r="A484" s="10" t="s">
        <v>2449</v>
      </c>
      <c r="B484" s="10" t="s">
        <v>2450</v>
      </c>
      <c r="C484" s="10" t="s">
        <v>1461</v>
      </c>
      <c r="D484" s="10" t="s">
        <v>2451</v>
      </c>
      <c r="E484" s="10" t="s">
        <v>1463</v>
      </c>
    </row>
    <row r="485" customFormat="false" ht="75" hidden="false" customHeight="true" outlineLevel="0" collapsed="false">
      <c r="A485" s="10" t="s">
        <v>2452</v>
      </c>
      <c r="B485" s="10" t="s">
        <v>2453</v>
      </c>
      <c r="C485" s="10" t="s">
        <v>1461</v>
      </c>
      <c r="D485" s="10" t="s">
        <v>2454</v>
      </c>
      <c r="E485" s="10" t="s">
        <v>1463</v>
      </c>
    </row>
    <row r="486" customFormat="false" ht="75" hidden="false" customHeight="true" outlineLevel="0" collapsed="false">
      <c r="A486" s="10" t="s">
        <v>2455</v>
      </c>
      <c r="B486" s="10" t="s">
        <v>2456</v>
      </c>
      <c r="C486" s="10" t="s">
        <v>1461</v>
      </c>
      <c r="D486" s="10" t="s">
        <v>2457</v>
      </c>
      <c r="E486" s="10" t="s">
        <v>1463</v>
      </c>
    </row>
    <row r="487" customFormat="false" ht="75" hidden="false" customHeight="true" outlineLevel="0" collapsed="false">
      <c r="A487" s="10" t="s">
        <v>2458</v>
      </c>
      <c r="B487" s="10" t="s">
        <v>2459</v>
      </c>
      <c r="C487" s="10" t="s">
        <v>1461</v>
      </c>
      <c r="D487" s="10" t="s">
        <v>2460</v>
      </c>
      <c r="E487" s="10" t="s">
        <v>1463</v>
      </c>
    </row>
    <row r="488" customFormat="false" ht="75" hidden="false" customHeight="true" outlineLevel="0" collapsed="false">
      <c r="A488" s="10" t="s">
        <v>2461</v>
      </c>
      <c r="B488" s="10" t="s">
        <v>2462</v>
      </c>
      <c r="C488" s="10" t="s">
        <v>1461</v>
      </c>
      <c r="D488" s="10" t="s">
        <v>2463</v>
      </c>
      <c r="E488" s="10" t="s">
        <v>1463</v>
      </c>
    </row>
    <row r="489" customFormat="false" ht="75" hidden="false" customHeight="true" outlineLevel="0" collapsed="false">
      <c r="A489" s="10" t="s">
        <v>2464</v>
      </c>
      <c r="B489" s="10" t="s">
        <v>2465</v>
      </c>
      <c r="C489" s="10" t="s">
        <v>1461</v>
      </c>
      <c r="D489" s="10" t="s">
        <v>2466</v>
      </c>
      <c r="E489" s="10" t="s">
        <v>1463</v>
      </c>
    </row>
    <row r="490" customFormat="false" ht="75" hidden="false" customHeight="true" outlineLevel="0" collapsed="false">
      <c r="A490" s="10" t="s">
        <v>2467</v>
      </c>
      <c r="B490" s="10" t="s">
        <v>2468</v>
      </c>
      <c r="C490" s="10" t="s">
        <v>1461</v>
      </c>
      <c r="D490" s="10" t="s">
        <v>1948</v>
      </c>
      <c r="E490" s="10" t="s">
        <v>1463</v>
      </c>
    </row>
    <row r="491" customFormat="false" ht="75" hidden="false" customHeight="true" outlineLevel="0" collapsed="false">
      <c r="A491" s="10" t="s">
        <v>2469</v>
      </c>
      <c r="B491" s="10" t="s">
        <v>2470</v>
      </c>
      <c r="C491" s="10" t="s">
        <v>1461</v>
      </c>
      <c r="D491" s="10" t="s">
        <v>2471</v>
      </c>
      <c r="E491" s="10" t="s">
        <v>1463</v>
      </c>
    </row>
    <row r="492" customFormat="false" ht="75" hidden="false" customHeight="true" outlineLevel="0" collapsed="false">
      <c r="A492" s="10" t="s">
        <v>2472</v>
      </c>
      <c r="B492" s="10" t="s">
        <v>2473</v>
      </c>
      <c r="C492" s="10" t="s">
        <v>1461</v>
      </c>
      <c r="D492" s="10" t="s">
        <v>2474</v>
      </c>
      <c r="E492" s="10" t="s">
        <v>1463</v>
      </c>
    </row>
    <row r="493" customFormat="false" ht="75" hidden="false" customHeight="true" outlineLevel="0" collapsed="false">
      <c r="A493" s="10" t="s">
        <v>2475</v>
      </c>
      <c r="B493" s="10" t="s">
        <v>2476</v>
      </c>
      <c r="C493" s="10" t="s">
        <v>1461</v>
      </c>
      <c r="D493" s="10" t="s">
        <v>2477</v>
      </c>
      <c r="E493" s="10" t="s">
        <v>1463</v>
      </c>
    </row>
    <row r="494" customFormat="false" ht="75" hidden="false" customHeight="true" outlineLevel="0" collapsed="false">
      <c r="A494" s="10" t="s">
        <v>2478</v>
      </c>
      <c r="B494" s="10" t="s">
        <v>2479</v>
      </c>
      <c r="C494" s="10" t="s">
        <v>1461</v>
      </c>
      <c r="D494" s="10" t="s">
        <v>1514</v>
      </c>
      <c r="E494" s="10" t="s">
        <v>1463</v>
      </c>
    </row>
    <row r="495" customFormat="false" ht="75" hidden="false" customHeight="true" outlineLevel="0" collapsed="false">
      <c r="A495" s="10" t="s">
        <v>2480</v>
      </c>
      <c r="B495" s="10" t="s">
        <v>2481</v>
      </c>
      <c r="C495" s="10" t="s">
        <v>1461</v>
      </c>
      <c r="D495" s="10" t="s">
        <v>2482</v>
      </c>
      <c r="E495" s="10" t="s">
        <v>1463</v>
      </c>
    </row>
    <row r="496" customFormat="false" ht="75" hidden="false" customHeight="true" outlineLevel="0" collapsed="false">
      <c r="A496" s="10" t="s">
        <v>2483</v>
      </c>
      <c r="B496" s="10" t="s">
        <v>2484</v>
      </c>
      <c r="C496" s="10" t="s">
        <v>1461</v>
      </c>
      <c r="D496" s="10" t="s">
        <v>2485</v>
      </c>
      <c r="E496" s="10" t="s">
        <v>1463</v>
      </c>
    </row>
    <row r="497" customFormat="false" ht="75" hidden="false" customHeight="true" outlineLevel="0" collapsed="false">
      <c r="A497" s="10" t="s">
        <v>2486</v>
      </c>
      <c r="B497" s="10" t="s">
        <v>2487</v>
      </c>
      <c r="C497" s="10" t="s">
        <v>1461</v>
      </c>
      <c r="D497" s="10" t="s">
        <v>2488</v>
      </c>
      <c r="E497" s="10" t="s">
        <v>1463</v>
      </c>
    </row>
    <row r="498" customFormat="false" ht="75" hidden="false" customHeight="true" outlineLevel="0" collapsed="false">
      <c r="A498" s="10" t="s">
        <v>2489</v>
      </c>
      <c r="B498" s="10" t="s">
        <v>2490</v>
      </c>
      <c r="C498" s="10" t="s">
        <v>1461</v>
      </c>
      <c r="D498" s="10" t="s">
        <v>2491</v>
      </c>
      <c r="E498" s="10" t="s">
        <v>1463</v>
      </c>
    </row>
    <row r="499" customFormat="false" ht="75" hidden="false" customHeight="true" outlineLevel="0" collapsed="false">
      <c r="A499" s="10" t="s">
        <v>2492</v>
      </c>
      <c r="B499" s="10" t="s">
        <v>2493</v>
      </c>
      <c r="C499" s="10" t="s">
        <v>1461</v>
      </c>
      <c r="D499" s="10" t="s">
        <v>2494</v>
      </c>
      <c r="E499" s="10" t="s">
        <v>1463</v>
      </c>
    </row>
    <row r="500" customFormat="false" ht="75" hidden="false" customHeight="true" outlineLevel="0" collapsed="false">
      <c r="A500" s="10" t="s">
        <v>2495</v>
      </c>
      <c r="B500" s="10" t="s">
        <v>2496</v>
      </c>
      <c r="C500" s="10" t="s">
        <v>1461</v>
      </c>
      <c r="D500" s="10" t="s">
        <v>2497</v>
      </c>
      <c r="E500" s="10" t="s">
        <v>1463</v>
      </c>
    </row>
    <row r="501" customFormat="false" ht="75" hidden="false" customHeight="true" outlineLevel="0" collapsed="false">
      <c r="A501" s="10" t="s">
        <v>2498</v>
      </c>
      <c r="B501" s="10" t="s">
        <v>2499</v>
      </c>
      <c r="C501" s="10" t="s">
        <v>1461</v>
      </c>
      <c r="D501" s="10" t="s">
        <v>1948</v>
      </c>
      <c r="E501" s="10" t="s">
        <v>1463</v>
      </c>
    </row>
    <row r="502" customFormat="false" ht="75" hidden="false" customHeight="true" outlineLevel="0" collapsed="false">
      <c r="A502" s="10" t="s">
        <v>2500</v>
      </c>
      <c r="B502" s="10" t="s">
        <v>2501</v>
      </c>
      <c r="C502" s="10" t="s">
        <v>1461</v>
      </c>
      <c r="D502" s="10" t="s">
        <v>2502</v>
      </c>
      <c r="E502" s="10" t="s">
        <v>1463</v>
      </c>
    </row>
    <row r="503" customFormat="false" ht="75" hidden="false" customHeight="true" outlineLevel="0" collapsed="false">
      <c r="A503" s="10" t="s">
        <v>2503</v>
      </c>
      <c r="B503" s="10" t="s">
        <v>2504</v>
      </c>
      <c r="C503" s="10" t="s">
        <v>1461</v>
      </c>
      <c r="D503" s="10" t="s">
        <v>2505</v>
      </c>
      <c r="E503" s="10" t="s">
        <v>1463</v>
      </c>
    </row>
    <row r="504" customFormat="false" ht="75" hidden="false" customHeight="true" outlineLevel="0" collapsed="false">
      <c r="A504" s="10" t="s">
        <v>2506</v>
      </c>
      <c r="B504" s="10" t="s">
        <v>2507</v>
      </c>
      <c r="C504" s="10" t="s">
        <v>1461</v>
      </c>
      <c r="D504" s="10" t="s">
        <v>2508</v>
      </c>
      <c r="E504" s="10" t="s">
        <v>1463</v>
      </c>
    </row>
    <row r="505" customFormat="false" ht="75" hidden="false" customHeight="true" outlineLevel="0" collapsed="false">
      <c r="A505" s="10" t="s">
        <v>2509</v>
      </c>
      <c r="B505" s="10" t="s">
        <v>2510</v>
      </c>
      <c r="C505" s="10" t="s">
        <v>1461</v>
      </c>
      <c r="D505" s="10" t="s">
        <v>2511</v>
      </c>
      <c r="E505" s="10" t="s">
        <v>1463</v>
      </c>
    </row>
    <row r="506" customFormat="false" ht="75" hidden="false" customHeight="true" outlineLevel="0" collapsed="false">
      <c r="A506" s="10" t="s">
        <v>2512</v>
      </c>
      <c r="B506" s="10" t="s">
        <v>2513</v>
      </c>
      <c r="C506" s="10" t="s">
        <v>1461</v>
      </c>
      <c r="D506" s="10" t="s">
        <v>2514</v>
      </c>
      <c r="E506" s="10" t="s">
        <v>1463</v>
      </c>
    </row>
    <row r="507" customFormat="false" ht="75" hidden="false" customHeight="true" outlineLevel="0" collapsed="false">
      <c r="A507" s="10" t="s">
        <v>2515</v>
      </c>
      <c r="B507" s="10" t="s">
        <v>2516</v>
      </c>
      <c r="C507" s="10" t="s">
        <v>1461</v>
      </c>
      <c r="D507" s="10" t="s">
        <v>2012</v>
      </c>
      <c r="E507" s="10" t="s">
        <v>1463</v>
      </c>
    </row>
    <row r="508" customFormat="false" ht="75" hidden="false" customHeight="true" outlineLevel="0" collapsed="false">
      <c r="A508" s="10" t="s">
        <v>2517</v>
      </c>
      <c r="B508" s="10" t="s">
        <v>2518</v>
      </c>
      <c r="C508" s="10" t="s">
        <v>1461</v>
      </c>
      <c r="D508" s="10" t="s">
        <v>2519</v>
      </c>
      <c r="E508" s="10" t="s">
        <v>1463</v>
      </c>
    </row>
    <row r="509" customFormat="false" ht="75" hidden="false" customHeight="true" outlineLevel="0" collapsed="false">
      <c r="A509" s="10" t="s">
        <v>2520</v>
      </c>
      <c r="B509" s="10" t="s">
        <v>2521</v>
      </c>
      <c r="C509" s="10" t="s">
        <v>1461</v>
      </c>
      <c r="D509" s="10" t="s">
        <v>2522</v>
      </c>
      <c r="E509" s="10" t="s">
        <v>1463</v>
      </c>
    </row>
    <row r="510" customFormat="false" ht="75" hidden="false" customHeight="true" outlineLevel="0" collapsed="false">
      <c r="A510" s="10" t="s">
        <v>2523</v>
      </c>
      <c r="B510" s="10" t="s">
        <v>2524</v>
      </c>
      <c r="C510" s="10" t="s">
        <v>1461</v>
      </c>
      <c r="D510" s="10" t="s">
        <v>2525</v>
      </c>
      <c r="E510" s="10" t="s">
        <v>1463</v>
      </c>
    </row>
    <row r="511" customFormat="false" ht="75" hidden="false" customHeight="true" outlineLevel="0" collapsed="false">
      <c r="A511" s="10" t="s">
        <v>2526</v>
      </c>
      <c r="B511" s="10" t="s">
        <v>2527</v>
      </c>
      <c r="C511" s="10" t="s">
        <v>1461</v>
      </c>
      <c r="D511" s="10" t="s">
        <v>2528</v>
      </c>
      <c r="E511" s="10" t="s">
        <v>1463</v>
      </c>
    </row>
    <row r="512" customFormat="false" ht="75" hidden="false" customHeight="true" outlineLevel="0" collapsed="false">
      <c r="A512" s="10" t="s">
        <v>2529</v>
      </c>
      <c r="B512" s="10" t="s">
        <v>2530</v>
      </c>
      <c r="C512" s="10" t="s">
        <v>1461</v>
      </c>
      <c r="D512" s="10" t="s">
        <v>2531</v>
      </c>
      <c r="E512" s="10" t="s">
        <v>1463</v>
      </c>
    </row>
    <row r="513" customFormat="false" ht="75" hidden="false" customHeight="true" outlineLevel="0" collapsed="false">
      <c r="A513" s="10" t="s">
        <v>2532</v>
      </c>
      <c r="B513" s="10" t="s">
        <v>2533</v>
      </c>
      <c r="C513" s="10" t="s">
        <v>1461</v>
      </c>
      <c r="D513" s="10" t="s">
        <v>1550</v>
      </c>
      <c r="E513" s="10" t="s">
        <v>1463</v>
      </c>
    </row>
    <row r="514" customFormat="false" ht="75" hidden="false" customHeight="true" outlineLevel="0" collapsed="false">
      <c r="A514" s="10" t="s">
        <v>2534</v>
      </c>
      <c r="B514" s="10" t="s">
        <v>2535</v>
      </c>
      <c r="C514" s="10" t="s">
        <v>1461</v>
      </c>
      <c r="D514" s="10" t="s">
        <v>2536</v>
      </c>
      <c r="E514" s="10" t="s">
        <v>1463</v>
      </c>
    </row>
    <row r="515" customFormat="false" ht="75" hidden="false" customHeight="true" outlineLevel="0" collapsed="false">
      <c r="A515" s="10" t="s">
        <v>2537</v>
      </c>
      <c r="B515" s="10" t="s">
        <v>2538</v>
      </c>
      <c r="C515" s="10" t="s">
        <v>1461</v>
      </c>
      <c r="D515" s="10" t="s">
        <v>2539</v>
      </c>
      <c r="E515" s="10" t="s">
        <v>1463</v>
      </c>
    </row>
    <row r="516" customFormat="false" ht="75" hidden="false" customHeight="true" outlineLevel="0" collapsed="false">
      <c r="A516" s="10" t="s">
        <v>2540</v>
      </c>
      <c r="B516" s="10" t="s">
        <v>2541</v>
      </c>
      <c r="C516" s="10" t="s">
        <v>1461</v>
      </c>
      <c r="D516" s="10" t="s">
        <v>2542</v>
      </c>
      <c r="E516" s="10" t="s">
        <v>1463</v>
      </c>
    </row>
    <row r="517" customFormat="false" ht="75" hidden="false" customHeight="true" outlineLevel="0" collapsed="false">
      <c r="A517" s="10" t="s">
        <v>2543</v>
      </c>
      <c r="B517" s="10" t="s">
        <v>2544</v>
      </c>
      <c r="C517" s="10" t="s">
        <v>1461</v>
      </c>
      <c r="D517" s="10" t="s">
        <v>1514</v>
      </c>
      <c r="E517" s="10" t="s">
        <v>1463</v>
      </c>
    </row>
    <row r="518" customFormat="false" ht="75" hidden="false" customHeight="true" outlineLevel="0" collapsed="false">
      <c r="A518" s="10" t="s">
        <v>2545</v>
      </c>
      <c r="B518" s="10" t="s">
        <v>2546</v>
      </c>
      <c r="C518" s="10" t="s">
        <v>1461</v>
      </c>
      <c r="D518" s="10" t="s">
        <v>2547</v>
      </c>
      <c r="E518" s="10" t="s">
        <v>1463</v>
      </c>
    </row>
    <row r="519" customFormat="false" ht="75" hidden="false" customHeight="true" outlineLevel="0" collapsed="false">
      <c r="A519" s="10" t="s">
        <v>2548</v>
      </c>
      <c r="B519" s="10" t="s">
        <v>2549</v>
      </c>
      <c r="C519" s="10" t="s">
        <v>1461</v>
      </c>
      <c r="D519" s="10" t="s">
        <v>2550</v>
      </c>
      <c r="E519" s="10" t="s">
        <v>1463</v>
      </c>
    </row>
    <row r="520" customFormat="false" ht="75" hidden="false" customHeight="true" outlineLevel="0" collapsed="false">
      <c r="A520" s="10" t="s">
        <v>2551</v>
      </c>
      <c r="B520" s="10" t="s">
        <v>2552</v>
      </c>
      <c r="C520" s="10" t="s">
        <v>1461</v>
      </c>
      <c r="D520" s="10" t="s">
        <v>2553</v>
      </c>
      <c r="E520" s="10" t="s">
        <v>1463</v>
      </c>
    </row>
    <row r="521" customFormat="false" ht="75" hidden="false" customHeight="true" outlineLevel="0" collapsed="false">
      <c r="A521" s="10" t="s">
        <v>2554</v>
      </c>
      <c r="B521" s="10" t="s">
        <v>2555</v>
      </c>
      <c r="C521" s="10" t="s">
        <v>1461</v>
      </c>
      <c r="D521" s="10" t="s">
        <v>2556</v>
      </c>
      <c r="E521" s="10" t="s">
        <v>1463</v>
      </c>
    </row>
    <row r="522" customFormat="false" ht="75" hidden="false" customHeight="true" outlineLevel="0" collapsed="false">
      <c r="A522" s="10" t="s">
        <v>2557</v>
      </c>
      <c r="B522" s="10" t="s">
        <v>2558</v>
      </c>
      <c r="C522" s="10" t="s">
        <v>1461</v>
      </c>
      <c r="D522" s="10" t="s">
        <v>2559</v>
      </c>
      <c r="E522" s="10" t="s">
        <v>1463</v>
      </c>
    </row>
    <row r="523" customFormat="false" ht="75" hidden="false" customHeight="true" outlineLevel="0" collapsed="false">
      <c r="A523" s="10" t="s">
        <v>2560</v>
      </c>
      <c r="B523" s="10" t="s">
        <v>2561</v>
      </c>
      <c r="C523" s="10" t="s">
        <v>1461</v>
      </c>
      <c r="D523" s="10" t="s">
        <v>2562</v>
      </c>
      <c r="E523" s="10" t="s">
        <v>1463</v>
      </c>
    </row>
    <row r="524" customFormat="false" ht="75" hidden="false" customHeight="true" outlineLevel="0" collapsed="false">
      <c r="A524" s="10" t="s">
        <v>2563</v>
      </c>
      <c r="B524" s="10" t="s">
        <v>2564</v>
      </c>
      <c r="C524" s="10" t="s">
        <v>1461</v>
      </c>
      <c r="D524" s="10" t="s">
        <v>2565</v>
      </c>
      <c r="E524" s="10" t="s">
        <v>1463</v>
      </c>
    </row>
    <row r="525" customFormat="false" ht="75" hidden="false" customHeight="true" outlineLevel="0" collapsed="false">
      <c r="A525" s="10" t="s">
        <v>2566</v>
      </c>
      <c r="B525" s="10" t="s">
        <v>2567</v>
      </c>
      <c r="C525" s="10" t="s">
        <v>1461</v>
      </c>
      <c r="D525" s="10" t="s">
        <v>1973</v>
      </c>
      <c r="E525" s="10" t="s">
        <v>1463</v>
      </c>
    </row>
    <row r="526" customFormat="false" ht="75" hidden="false" customHeight="true" outlineLevel="0" collapsed="false">
      <c r="A526" s="10" t="s">
        <v>2568</v>
      </c>
      <c r="B526" s="10" t="s">
        <v>2569</v>
      </c>
      <c r="C526" s="10" t="s">
        <v>1461</v>
      </c>
      <c r="D526" s="10" t="s">
        <v>1705</v>
      </c>
      <c r="E526" s="10" t="s">
        <v>1463</v>
      </c>
    </row>
    <row r="527" customFormat="false" ht="75" hidden="false" customHeight="true" outlineLevel="0" collapsed="false">
      <c r="A527" s="10" t="s">
        <v>2570</v>
      </c>
      <c r="B527" s="10" t="s">
        <v>2571</v>
      </c>
      <c r="C527" s="10" t="s">
        <v>1461</v>
      </c>
      <c r="D527" s="10" t="s">
        <v>2089</v>
      </c>
      <c r="E527" s="10" t="s">
        <v>1463</v>
      </c>
    </row>
    <row r="528" customFormat="false" ht="75" hidden="false" customHeight="true" outlineLevel="0" collapsed="false">
      <c r="A528" s="10" t="s">
        <v>2572</v>
      </c>
      <c r="B528" s="10" t="s">
        <v>2573</v>
      </c>
      <c r="C528" s="10" t="s">
        <v>1461</v>
      </c>
      <c r="D528" s="10" t="s">
        <v>2574</v>
      </c>
      <c r="E528" s="10" t="s">
        <v>1463</v>
      </c>
    </row>
    <row r="529" customFormat="false" ht="75" hidden="false" customHeight="true" outlineLevel="0" collapsed="false">
      <c r="A529" s="10" t="s">
        <v>2575</v>
      </c>
      <c r="B529" s="10" t="s">
        <v>2576</v>
      </c>
      <c r="C529" s="10" t="s">
        <v>1461</v>
      </c>
      <c r="D529" s="10" t="s">
        <v>2547</v>
      </c>
      <c r="E529" s="10" t="s">
        <v>1463</v>
      </c>
    </row>
    <row r="530" customFormat="false" ht="75" hidden="false" customHeight="true" outlineLevel="0" collapsed="false">
      <c r="A530" s="10" t="s">
        <v>2577</v>
      </c>
      <c r="B530" s="10" t="s">
        <v>2578</v>
      </c>
      <c r="C530" s="10" t="s">
        <v>1461</v>
      </c>
      <c r="D530" s="10" t="s">
        <v>2579</v>
      </c>
      <c r="E530" s="10" t="s">
        <v>1463</v>
      </c>
    </row>
    <row r="531" customFormat="false" ht="75" hidden="false" customHeight="true" outlineLevel="0" collapsed="false">
      <c r="A531" s="10" t="s">
        <v>2580</v>
      </c>
      <c r="B531" s="10" t="s">
        <v>2581</v>
      </c>
      <c r="C531" s="10" t="s">
        <v>1461</v>
      </c>
      <c r="D531" s="10" t="s">
        <v>2582</v>
      </c>
      <c r="E531" s="10" t="s">
        <v>1463</v>
      </c>
    </row>
    <row r="532" customFormat="false" ht="75" hidden="false" customHeight="true" outlineLevel="0" collapsed="false">
      <c r="A532" s="10" t="s">
        <v>2583</v>
      </c>
      <c r="B532" s="10" t="s">
        <v>2584</v>
      </c>
      <c r="C532" s="10" t="s">
        <v>1461</v>
      </c>
      <c r="D532" s="10" t="s">
        <v>2585</v>
      </c>
      <c r="E532" s="10" t="s">
        <v>1463</v>
      </c>
    </row>
    <row r="533" customFormat="false" ht="75" hidden="false" customHeight="true" outlineLevel="0" collapsed="false">
      <c r="A533" s="10" t="s">
        <v>2586</v>
      </c>
      <c r="B533" s="10" t="s">
        <v>2587</v>
      </c>
      <c r="C533" s="10" t="s">
        <v>1461</v>
      </c>
      <c r="D533" s="10" t="s">
        <v>2588</v>
      </c>
      <c r="E533" s="10" t="s">
        <v>1463</v>
      </c>
    </row>
    <row r="534" customFormat="false" ht="75" hidden="false" customHeight="true" outlineLevel="0" collapsed="false">
      <c r="A534" s="10" t="s">
        <v>2589</v>
      </c>
      <c r="B534" s="10" t="s">
        <v>2590</v>
      </c>
      <c r="C534" s="10" t="s">
        <v>1461</v>
      </c>
      <c r="D534" s="10" t="s">
        <v>2591</v>
      </c>
      <c r="E534" s="10" t="s">
        <v>1463</v>
      </c>
    </row>
    <row r="535" customFormat="false" ht="75" hidden="false" customHeight="true" outlineLevel="0" collapsed="false">
      <c r="A535" s="10" t="s">
        <v>2592</v>
      </c>
      <c r="B535" s="10" t="s">
        <v>2593</v>
      </c>
      <c r="C535" s="10" t="s">
        <v>1461</v>
      </c>
      <c r="D535" s="10" t="s">
        <v>2594</v>
      </c>
      <c r="E535" s="10" t="s">
        <v>1463</v>
      </c>
    </row>
    <row r="536" customFormat="false" ht="75" hidden="false" customHeight="true" outlineLevel="0" collapsed="false">
      <c r="A536" s="10" t="s">
        <v>2595</v>
      </c>
      <c r="B536" s="10" t="s">
        <v>2596</v>
      </c>
      <c r="C536" s="10" t="s">
        <v>1461</v>
      </c>
      <c r="D536" s="10" t="s">
        <v>1991</v>
      </c>
      <c r="E536" s="10" t="s">
        <v>1463</v>
      </c>
    </row>
    <row r="537" customFormat="false" ht="75" hidden="false" customHeight="true" outlineLevel="0" collapsed="false">
      <c r="A537" s="10" t="s">
        <v>2597</v>
      </c>
      <c r="B537" s="10" t="s">
        <v>2598</v>
      </c>
      <c r="C537" s="10" t="s">
        <v>1461</v>
      </c>
      <c r="D537" s="10" t="s">
        <v>2599</v>
      </c>
      <c r="E537" s="10" t="s">
        <v>1463</v>
      </c>
    </row>
    <row r="538" customFormat="false" ht="75" hidden="false" customHeight="true" outlineLevel="0" collapsed="false">
      <c r="A538" s="10" t="s">
        <v>2600</v>
      </c>
      <c r="B538" s="10" t="s">
        <v>2601</v>
      </c>
      <c r="C538" s="10" t="s">
        <v>1461</v>
      </c>
      <c r="D538" s="10" t="s">
        <v>2602</v>
      </c>
      <c r="E538" s="10" t="s">
        <v>1463</v>
      </c>
    </row>
    <row r="539" customFormat="false" ht="75" hidden="false" customHeight="true" outlineLevel="0" collapsed="false">
      <c r="A539" s="10" t="s">
        <v>2603</v>
      </c>
      <c r="B539" s="10" t="s">
        <v>2604</v>
      </c>
      <c r="C539" s="10" t="s">
        <v>1461</v>
      </c>
      <c r="D539" s="10" t="s">
        <v>2605</v>
      </c>
      <c r="E539" s="10" t="s">
        <v>1463</v>
      </c>
    </row>
    <row r="540" customFormat="false" ht="75" hidden="false" customHeight="true" outlineLevel="0" collapsed="false">
      <c r="A540" s="10" t="s">
        <v>2606</v>
      </c>
      <c r="B540" s="10" t="s">
        <v>2607</v>
      </c>
      <c r="C540" s="10" t="s">
        <v>1461</v>
      </c>
      <c r="D540" s="10" t="s">
        <v>1793</v>
      </c>
      <c r="E540" s="10" t="s">
        <v>1463</v>
      </c>
    </row>
    <row r="541" customFormat="false" ht="75" hidden="false" customHeight="true" outlineLevel="0" collapsed="false">
      <c r="A541" s="10" t="s">
        <v>2608</v>
      </c>
      <c r="B541" s="10" t="s">
        <v>2609</v>
      </c>
      <c r="C541" s="10" t="s">
        <v>1461</v>
      </c>
      <c r="D541" s="10" t="s">
        <v>2610</v>
      </c>
      <c r="E541" s="10" t="s">
        <v>1463</v>
      </c>
    </row>
    <row r="542" customFormat="false" ht="75" hidden="false" customHeight="true" outlineLevel="0" collapsed="false">
      <c r="A542" s="10" t="s">
        <v>2611</v>
      </c>
      <c r="B542" s="10" t="s">
        <v>2612</v>
      </c>
      <c r="C542" s="10" t="s">
        <v>1461</v>
      </c>
      <c r="D542" s="10" t="s">
        <v>2613</v>
      </c>
      <c r="E542" s="10" t="s">
        <v>1463</v>
      </c>
    </row>
    <row r="543" customFormat="false" ht="75" hidden="false" customHeight="true" outlineLevel="0" collapsed="false">
      <c r="A543" s="10" t="s">
        <v>2614</v>
      </c>
      <c r="B543" s="10" t="s">
        <v>2615</v>
      </c>
      <c r="C543" s="10" t="s">
        <v>1461</v>
      </c>
      <c r="D543" s="10" t="s">
        <v>2616</v>
      </c>
      <c r="E543" s="10" t="s">
        <v>1463</v>
      </c>
    </row>
    <row r="544" customFormat="false" ht="75" hidden="false" customHeight="true" outlineLevel="0" collapsed="false">
      <c r="A544" s="10" t="s">
        <v>2617</v>
      </c>
      <c r="B544" s="10" t="s">
        <v>2618</v>
      </c>
      <c r="C544" s="10" t="s">
        <v>1461</v>
      </c>
      <c r="D544" s="10" t="s">
        <v>1544</v>
      </c>
      <c r="E544" s="10" t="s">
        <v>1463</v>
      </c>
    </row>
    <row r="545" customFormat="false" ht="75" hidden="false" customHeight="true" outlineLevel="0" collapsed="false">
      <c r="A545" s="10" t="s">
        <v>2619</v>
      </c>
      <c r="B545" s="10" t="s">
        <v>2620</v>
      </c>
      <c r="C545" s="10" t="s">
        <v>1461</v>
      </c>
      <c r="D545" s="10" t="s">
        <v>2621</v>
      </c>
      <c r="E545" s="10" t="s">
        <v>1463</v>
      </c>
    </row>
    <row r="546" customFormat="false" ht="75" hidden="false" customHeight="true" outlineLevel="0" collapsed="false">
      <c r="A546" s="10" t="s">
        <v>2622</v>
      </c>
      <c r="B546" s="10" t="s">
        <v>2623</v>
      </c>
      <c r="C546" s="10" t="s">
        <v>1461</v>
      </c>
      <c r="D546" s="10" t="s">
        <v>2624</v>
      </c>
      <c r="E546" s="10" t="s">
        <v>1463</v>
      </c>
    </row>
    <row r="547" customFormat="false" ht="75" hidden="false" customHeight="true" outlineLevel="0" collapsed="false">
      <c r="A547" s="10" t="s">
        <v>2625</v>
      </c>
      <c r="B547" s="10" t="s">
        <v>2626</v>
      </c>
      <c r="C547" s="10" t="s">
        <v>1461</v>
      </c>
      <c r="D547" s="10" t="s">
        <v>2627</v>
      </c>
      <c r="E547" s="10" t="s">
        <v>1463</v>
      </c>
    </row>
    <row r="548" customFormat="false" ht="75" hidden="false" customHeight="true" outlineLevel="0" collapsed="false">
      <c r="A548" s="10" t="s">
        <v>2628</v>
      </c>
      <c r="B548" s="10" t="s">
        <v>2629</v>
      </c>
      <c r="C548" s="10" t="s">
        <v>1461</v>
      </c>
      <c r="D548" s="10" t="s">
        <v>2630</v>
      </c>
      <c r="E548" s="10" t="s">
        <v>1463</v>
      </c>
    </row>
    <row r="549" customFormat="false" ht="75" hidden="false" customHeight="true" outlineLevel="0" collapsed="false">
      <c r="A549" s="10" t="s">
        <v>2631</v>
      </c>
      <c r="B549" s="10" t="s">
        <v>2632</v>
      </c>
      <c r="C549" s="10" t="s">
        <v>1461</v>
      </c>
      <c r="D549" s="10" t="s">
        <v>1772</v>
      </c>
      <c r="E549" s="10" t="s">
        <v>1463</v>
      </c>
    </row>
    <row r="550" customFormat="false" ht="75" hidden="false" customHeight="true" outlineLevel="0" collapsed="false">
      <c r="A550" s="10" t="s">
        <v>2633</v>
      </c>
      <c r="B550" s="10" t="s">
        <v>2634</v>
      </c>
      <c r="C550" s="10" t="s">
        <v>1461</v>
      </c>
      <c r="D550" s="10" t="s">
        <v>1544</v>
      </c>
      <c r="E550" s="10" t="s">
        <v>1463</v>
      </c>
    </row>
    <row r="551" customFormat="false" ht="75" hidden="false" customHeight="true" outlineLevel="0" collapsed="false">
      <c r="A551" s="10" t="s">
        <v>2635</v>
      </c>
      <c r="B551" s="10" t="s">
        <v>2636</v>
      </c>
      <c r="C551" s="10" t="s">
        <v>1461</v>
      </c>
      <c r="D551" s="10" t="s">
        <v>2637</v>
      </c>
      <c r="E551" s="10" t="s">
        <v>1463</v>
      </c>
    </row>
    <row r="552" customFormat="false" ht="75" hidden="false" customHeight="true" outlineLevel="0" collapsed="false">
      <c r="A552" s="10" t="s">
        <v>2638</v>
      </c>
      <c r="B552" s="10" t="s">
        <v>2639</v>
      </c>
      <c r="C552" s="10" t="s">
        <v>1461</v>
      </c>
      <c r="D552" s="10" t="s">
        <v>2640</v>
      </c>
      <c r="E552" s="10" t="s">
        <v>1463</v>
      </c>
    </row>
    <row r="553" customFormat="false" ht="75" hidden="false" customHeight="true" outlineLevel="0" collapsed="false">
      <c r="A553" s="10" t="s">
        <v>2641</v>
      </c>
      <c r="B553" s="10" t="s">
        <v>2642</v>
      </c>
      <c r="C553" s="10" t="s">
        <v>1461</v>
      </c>
      <c r="D553" s="10" t="s">
        <v>2250</v>
      </c>
      <c r="E553" s="10" t="s">
        <v>1463</v>
      </c>
    </row>
    <row r="554" customFormat="false" ht="75" hidden="false" customHeight="true" outlineLevel="0" collapsed="false">
      <c r="A554" s="10" t="s">
        <v>2643</v>
      </c>
      <c r="B554" s="10" t="s">
        <v>2644</v>
      </c>
      <c r="C554" s="10" t="s">
        <v>1461</v>
      </c>
      <c r="D554" s="10" t="s">
        <v>2645</v>
      </c>
      <c r="E554" s="10" t="s">
        <v>1463</v>
      </c>
    </row>
    <row r="555" customFormat="false" ht="75" hidden="false" customHeight="true" outlineLevel="0" collapsed="false">
      <c r="A555" s="10" t="s">
        <v>2646</v>
      </c>
      <c r="B555" s="10" t="s">
        <v>2647</v>
      </c>
      <c r="C555" s="10" t="s">
        <v>1461</v>
      </c>
      <c r="D555" s="10" t="s">
        <v>2648</v>
      </c>
      <c r="E555" s="10" t="s">
        <v>1463</v>
      </c>
    </row>
    <row r="556" customFormat="false" ht="75" hidden="false" customHeight="true" outlineLevel="0" collapsed="false">
      <c r="A556" s="10" t="s">
        <v>2649</v>
      </c>
      <c r="B556" s="10" t="s">
        <v>2650</v>
      </c>
      <c r="C556" s="10" t="s">
        <v>1461</v>
      </c>
      <c r="D556" s="10" t="s">
        <v>2651</v>
      </c>
      <c r="E556" s="10" t="s">
        <v>1463</v>
      </c>
    </row>
    <row r="557" customFormat="false" ht="75" hidden="false" customHeight="true" outlineLevel="0" collapsed="false">
      <c r="A557" s="10" t="s">
        <v>2652</v>
      </c>
      <c r="B557" s="10" t="s">
        <v>2653</v>
      </c>
      <c r="C557" s="10" t="s">
        <v>1461</v>
      </c>
      <c r="D557" s="10" t="s">
        <v>2654</v>
      </c>
      <c r="E557" s="10" t="s">
        <v>1463</v>
      </c>
    </row>
    <row r="558" customFormat="false" ht="75" hidden="false" customHeight="true" outlineLevel="0" collapsed="false">
      <c r="A558" s="10" t="s">
        <v>2655</v>
      </c>
      <c r="B558" s="10" t="s">
        <v>2656</v>
      </c>
      <c r="C558" s="10" t="s">
        <v>1461</v>
      </c>
      <c r="D558" s="10" t="s">
        <v>2657</v>
      </c>
      <c r="E558" s="10" t="s">
        <v>1463</v>
      </c>
    </row>
    <row r="559" customFormat="false" ht="75" hidden="false" customHeight="true" outlineLevel="0" collapsed="false">
      <c r="A559" s="10" t="s">
        <v>2658</v>
      </c>
      <c r="B559" s="10" t="s">
        <v>2659</v>
      </c>
      <c r="C559" s="10" t="s">
        <v>1461</v>
      </c>
      <c r="D559" s="10" t="s">
        <v>2218</v>
      </c>
      <c r="E559" s="10" t="s">
        <v>1463</v>
      </c>
    </row>
    <row r="560" customFormat="false" ht="75" hidden="false" customHeight="true" outlineLevel="0" collapsed="false">
      <c r="A560" s="10" t="s">
        <v>2660</v>
      </c>
      <c r="B560" s="10" t="s">
        <v>2661</v>
      </c>
      <c r="C560" s="10" t="s">
        <v>1461</v>
      </c>
      <c r="D560" s="10" t="s">
        <v>2662</v>
      </c>
      <c r="E560" s="10" t="s">
        <v>1463</v>
      </c>
    </row>
    <row r="561" customFormat="false" ht="75" hidden="false" customHeight="true" outlineLevel="0" collapsed="false">
      <c r="A561" s="10" t="s">
        <v>2663</v>
      </c>
      <c r="B561" s="10" t="s">
        <v>2664</v>
      </c>
      <c r="C561" s="10" t="s">
        <v>1461</v>
      </c>
      <c r="D561" s="10" t="s">
        <v>2665</v>
      </c>
      <c r="E561" s="10" t="s">
        <v>1463</v>
      </c>
    </row>
    <row r="562" customFormat="false" ht="75" hidden="false" customHeight="true" outlineLevel="0" collapsed="false">
      <c r="A562" s="10" t="s">
        <v>2666</v>
      </c>
      <c r="B562" s="10" t="s">
        <v>2667</v>
      </c>
      <c r="C562" s="10" t="s">
        <v>1461</v>
      </c>
      <c r="D562" s="10" t="s">
        <v>2502</v>
      </c>
      <c r="E562" s="10" t="s">
        <v>1463</v>
      </c>
    </row>
    <row r="563" customFormat="false" ht="75" hidden="false" customHeight="true" outlineLevel="0" collapsed="false">
      <c r="A563" s="10" t="s">
        <v>2668</v>
      </c>
      <c r="B563" s="10" t="s">
        <v>2669</v>
      </c>
      <c r="C563" s="10" t="s">
        <v>1461</v>
      </c>
      <c r="D563" s="10" t="s">
        <v>2670</v>
      </c>
      <c r="E563" s="10" t="s">
        <v>1463</v>
      </c>
    </row>
    <row r="564" customFormat="false" ht="75" hidden="false" customHeight="true" outlineLevel="0" collapsed="false">
      <c r="A564" s="10" t="s">
        <v>2671</v>
      </c>
      <c r="B564" s="10" t="s">
        <v>2672</v>
      </c>
      <c r="C564" s="10" t="s">
        <v>1461</v>
      </c>
      <c r="D564" s="10" t="s">
        <v>2673</v>
      </c>
      <c r="E564" s="10" t="s">
        <v>1463</v>
      </c>
    </row>
    <row r="565" customFormat="false" ht="75" hidden="false" customHeight="true" outlineLevel="0" collapsed="false">
      <c r="A565" s="10" t="s">
        <v>2674</v>
      </c>
      <c r="B565" s="10" t="s">
        <v>2675</v>
      </c>
      <c r="C565" s="10" t="s">
        <v>1461</v>
      </c>
      <c r="D565" s="10" t="s">
        <v>2676</v>
      </c>
      <c r="E565" s="10" t="s">
        <v>1463</v>
      </c>
    </row>
    <row r="566" customFormat="false" ht="75" hidden="false" customHeight="true" outlineLevel="0" collapsed="false">
      <c r="A566" s="10" t="s">
        <v>2677</v>
      </c>
      <c r="B566" s="10" t="s">
        <v>2678</v>
      </c>
      <c r="C566" s="10" t="s">
        <v>1461</v>
      </c>
      <c r="D566" s="10" t="s">
        <v>2679</v>
      </c>
      <c r="E566" s="10" t="s">
        <v>1463</v>
      </c>
    </row>
    <row r="567" customFormat="false" ht="75" hidden="false" customHeight="true" outlineLevel="0" collapsed="false">
      <c r="A567" s="10" t="s">
        <v>2680</v>
      </c>
      <c r="B567" s="10" t="s">
        <v>2681</v>
      </c>
      <c r="C567" s="10" t="s">
        <v>1461</v>
      </c>
      <c r="D567" s="10" t="s">
        <v>1991</v>
      </c>
      <c r="E567" s="10" t="s">
        <v>1463</v>
      </c>
    </row>
    <row r="568" customFormat="false" ht="75" hidden="false" customHeight="true" outlineLevel="0" collapsed="false">
      <c r="A568" s="10" t="s">
        <v>2682</v>
      </c>
      <c r="B568" s="10" t="s">
        <v>2683</v>
      </c>
      <c r="C568" s="10" t="s">
        <v>1461</v>
      </c>
      <c r="D568" s="10" t="s">
        <v>2684</v>
      </c>
      <c r="E568" s="10" t="s">
        <v>1463</v>
      </c>
    </row>
    <row r="569" customFormat="false" ht="75" hidden="false" customHeight="true" outlineLevel="0" collapsed="false">
      <c r="A569" s="10" t="s">
        <v>2685</v>
      </c>
      <c r="B569" s="10" t="s">
        <v>2686</v>
      </c>
      <c r="C569" s="10" t="s">
        <v>1461</v>
      </c>
      <c r="D569" s="10" t="s">
        <v>2687</v>
      </c>
      <c r="E569" s="10" t="s">
        <v>1463</v>
      </c>
    </row>
    <row r="570" customFormat="false" ht="75" hidden="false" customHeight="true" outlineLevel="0" collapsed="false">
      <c r="A570" s="10" t="s">
        <v>2688</v>
      </c>
      <c r="B570" s="10" t="s">
        <v>2689</v>
      </c>
      <c r="C570" s="10" t="s">
        <v>1461</v>
      </c>
      <c r="D570" s="10" t="s">
        <v>2390</v>
      </c>
      <c r="E570" s="10" t="s">
        <v>1463</v>
      </c>
    </row>
    <row r="571" customFormat="false" ht="75" hidden="false" customHeight="true" outlineLevel="0" collapsed="false">
      <c r="A571" s="10" t="s">
        <v>2690</v>
      </c>
      <c r="B571" s="10" t="s">
        <v>2691</v>
      </c>
      <c r="C571" s="10" t="s">
        <v>1461</v>
      </c>
      <c r="D571" s="10" t="s">
        <v>2692</v>
      </c>
      <c r="E571" s="10" t="s">
        <v>1463</v>
      </c>
    </row>
    <row r="572" customFormat="false" ht="75" hidden="false" customHeight="true" outlineLevel="0" collapsed="false">
      <c r="A572" s="10" t="s">
        <v>2693</v>
      </c>
      <c r="B572" s="10" t="s">
        <v>2694</v>
      </c>
      <c r="C572" s="10" t="s">
        <v>1461</v>
      </c>
      <c r="D572" s="10" t="s">
        <v>2695</v>
      </c>
      <c r="E572" s="10" t="s">
        <v>1463</v>
      </c>
    </row>
    <row r="573" customFormat="false" ht="75" hidden="false" customHeight="true" outlineLevel="0" collapsed="false">
      <c r="A573" s="10" t="s">
        <v>2696</v>
      </c>
      <c r="B573" s="10" t="s">
        <v>2697</v>
      </c>
      <c r="C573" s="10" t="s">
        <v>1461</v>
      </c>
      <c r="D573" s="10" t="s">
        <v>2698</v>
      </c>
      <c r="E573" s="10" t="s">
        <v>1463</v>
      </c>
    </row>
    <row r="574" customFormat="false" ht="75" hidden="false" customHeight="true" outlineLevel="0" collapsed="false">
      <c r="A574" s="10" t="s">
        <v>2699</v>
      </c>
      <c r="B574" s="10" t="s">
        <v>2700</v>
      </c>
      <c r="C574" s="10" t="s">
        <v>1461</v>
      </c>
      <c r="D574" s="10" t="s">
        <v>2701</v>
      </c>
      <c r="E574" s="10" t="s">
        <v>1463</v>
      </c>
    </row>
    <row r="575" customFormat="false" ht="75" hidden="false" customHeight="true" outlineLevel="0" collapsed="false">
      <c r="A575" s="10" t="s">
        <v>2702</v>
      </c>
      <c r="B575" s="10" t="s">
        <v>2703</v>
      </c>
      <c r="C575" s="10" t="s">
        <v>1461</v>
      </c>
      <c r="D575" s="10" t="s">
        <v>2704</v>
      </c>
      <c r="E575" s="10" t="s">
        <v>1463</v>
      </c>
    </row>
    <row r="576" customFormat="false" ht="75" hidden="false" customHeight="true" outlineLevel="0" collapsed="false">
      <c r="A576" s="10" t="s">
        <v>2705</v>
      </c>
      <c r="B576" s="10" t="s">
        <v>2706</v>
      </c>
      <c r="C576" s="10" t="s">
        <v>1461</v>
      </c>
      <c r="D576" s="10" t="s">
        <v>2707</v>
      </c>
      <c r="E576" s="10" t="s">
        <v>1463</v>
      </c>
    </row>
    <row r="577" customFormat="false" ht="75" hidden="false" customHeight="true" outlineLevel="0" collapsed="false">
      <c r="A577" s="10" t="s">
        <v>2708</v>
      </c>
      <c r="B577" s="10" t="s">
        <v>2709</v>
      </c>
      <c r="C577" s="10" t="s">
        <v>1461</v>
      </c>
      <c r="D577" s="10" t="s">
        <v>1867</v>
      </c>
      <c r="E577" s="10" t="s">
        <v>1463</v>
      </c>
    </row>
    <row r="578" customFormat="false" ht="75" hidden="false" customHeight="true" outlineLevel="0" collapsed="false">
      <c r="A578" s="10" t="s">
        <v>2710</v>
      </c>
      <c r="B578" s="10" t="s">
        <v>2711</v>
      </c>
      <c r="C578" s="10" t="s">
        <v>1461</v>
      </c>
      <c r="D578" s="10" t="s">
        <v>2712</v>
      </c>
      <c r="E578" s="10" t="s">
        <v>1463</v>
      </c>
    </row>
    <row r="579" customFormat="false" ht="75" hidden="false" customHeight="true" outlineLevel="0" collapsed="false">
      <c r="A579" s="10" t="s">
        <v>2713</v>
      </c>
      <c r="B579" s="10" t="s">
        <v>2714</v>
      </c>
      <c r="C579" s="10" t="s">
        <v>1461</v>
      </c>
      <c r="D579" s="10" t="s">
        <v>2715</v>
      </c>
      <c r="E579" s="10" t="s">
        <v>1463</v>
      </c>
    </row>
    <row r="580" customFormat="false" ht="75" hidden="false" customHeight="true" outlineLevel="0" collapsed="false">
      <c r="A580" s="10" t="s">
        <v>2716</v>
      </c>
      <c r="B580" s="10" t="s">
        <v>2717</v>
      </c>
      <c r="C580" s="10" t="s">
        <v>1461</v>
      </c>
      <c r="D580" s="10" t="s">
        <v>2384</v>
      </c>
      <c r="E580" s="10" t="s">
        <v>1463</v>
      </c>
    </row>
    <row r="581" customFormat="false" ht="75" hidden="false" customHeight="true" outlineLevel="0" collapsed="false">
      <c r="A581" s="10" t="s">
        <v>2718</v>
      </c>
      <c r="B581" s="10" t="s">
        <v>2719</v>
      </c>
      <c r="C581" s="10" t="s">
        <v>1461</v>
      </c>
      <c r="D581" s="10" t="s">
        <v>2118</v>
      </c>
      <c r="E581" s="10" t="s">
        <v>1463</v>
      </c>
    </row>
    <row r="582" customFormat="false" ht="75" hidden="false" customHeight="true" outlineLevel="0" collapsed="false">
      <c r="A582" s="10" t="s">
        <v>2720</v>
      </c>
      <c r="B582" s="10" t="s">
        <v>2721</v>
      </c>
      <c r="C582" s="10" t="s">
        <v>1461</v>
      </c>
      <c r="D582" s="10" t="s">
        <v>2722</v>
      </c>
      <c r="E582" s="10" t="s">
        <v>1463</v>
      </c>
    </row>
    <row r="583" customFormat="false" ht="75" hidden="false" customHeight="true" outlineLevel="0" collapsed="false">
      <c r="A583" s="10" t="s">
        <v>2723</v>
      </c>
      <c r="B583" s="10" t="s">
        <v>2724</v>
      </c>
      <c r="C583" s="10" t="s">
        <v>1461</v>
      </c>
      <c r="D583" s="10" t="s">
        <v>2725</v>
      </c>
      <c r="E583" s="10" t="s">
        <v>1463</v>
      </c>
    </row>
    <row r="584" customFormat="false" ht="75" hidden="false" customHeight="true" outlineLevel="0" collapsed="false">
      <c r="A584" s="10" t="s">
        <v>2726</v>
      </c>
      <c r="B584" s="10" t="s">
        <v>2727</v>
      </c>
      <c r="C584" s="10" t="s">
        <v>1461</v>
      </c>
      <c r="D584" s="10" t="s">
        <v>2384</v>
      </c>
      <c r="E584" s="10" t="s">
        <v>1463</v>
      </c>
    </row>
    <row r="585" customFormat="false" ht="75" hidden="false" customHeight="true" outlineLevel="0" collapsed="false">
      <c r="A585" s="10" t="s">
        <v>2728</v>
      </c>
      <c r="B585" s="10" t="s">
        <v>2729</v>
      </c>
      <c r="C585" s="10" t="s">
        <v>1461</v>
      </c>
      <c r="D585" s="10" t="s">
        <v>2730</v>
      </c>
      <c r="E585" s="10" t="s">
        <v>1463</v>
      </c>
    </row>
    <row r="586" customFormat="false" ht="75" hidden="false" customHeight="true" outlineLevel="0" collapsed="false">
      <c r="A586" s="10" t="s">
        <v>2731</v>
      </c>
      <c r="B586" s="10" t="s">
        <v>2732</v>
      </c>
      <c r="C586" s="10" t="s">
        <v>1461</v>
      </c>
      <c r="D586" s="10" t="s">
        <v>2733</v>
      </c>
      <c r="E586" s="10" t="s">
        <v>1463</v>
      </c>
    </row>
    <row r="587" customFormat="false" ht="75" hidden="false" customHeight="true" outlineLevel="0" collapsed="false">
      <c r="A587" s="10" t="s">
        <v>2734</v>
      </c>
      <c r="B587" s="10" t="s">
        <v>2735</v>
      </c>
      <c r="C587" s="10" t="s">
        <v>1461</v>
      </c>
      <c r="D587" s="10" t="s">
        <v>2431</v>
      </c>
      <c r="E587" s="10" t="s">
        <v>1463</v>
      </c>
    </row>
    <row r="588" customFormat="false" ht="75" hidden="false" customHeight="true" outlineLevel="0" collapsed="false">
      <c r="A588" s="10" t="s">
        <v>2736</v>
      </c>
      <c r="B588" s="10" t="s">
        <v>2737</v>
      </c>
      <c r="C588" s="10" t="s">
        <v>1461</v>
      </c>
      <c r="D588" s="10" t="s">
        <v>1641</v>
      </c>
      <c r="E588" s="10" t="s">
        <v>1463</v>
      </c>
    </row>
    <row r="589" customFormat="false" ht="75" hidden="false" customHeight="true" outlineLevel="0" collapsed="false">
      <c r="A589" s="10" t="s">
        <v>2738</v>
      </c>
      <c r="B589" s="10" t="s">
        <v>2739</v>
      </c>
      <c r="C589" s="10" t="s">
        <v>1461</v>
      </c>
      <c r="D589" s="10" t="s">
        <v>1592</v>
      </c>
      <c r="E589" s="10" t="s">
        <v>1463</v>
      </c>
    </row>
    <row r="590" customFormat="false" ht="75" hidden="false" customHeight="true" outlineLevel="0" collapsed="false">
      <c r="A590" s="10" t="s">
        <v>2740</v>
      </c>
      <c r="B590" s="10" t="s">
        <v>2741</v>
      </c>
      <c r="C590" s="10" t="s">
        <v>1461</v>
      </c>
      <c r="D590" s="10" t="s">
        <v>1690</v>
      </c>
      <c r="E590" s="10" t="s">
        <v>1463</v>
      </c>
    </row>
    <row r="591" customFormat="false" ht="75" hidden="false" customHeight="true" outlineLevel="0" collapsed="false">
      <c r="A591" s="10" t="s">
        <v>2742</v>
      </c>
      <c r="B591" s="10" t="s">
        <v>2743</v>
      </c>
      <c r="C591" s="10" t="s">
        <v>1461</v>
      </c>
      <c r="D591" s="10" t="s">
        <v>2744</v>
      </c>
      <c r="E591" s="10" t="s">
        <v>1463</v>
      </c>
    </row>
    <row r="592" customFormat="false" ht="75" hidden="false" customHeight="true" outlineLevel="0" collapsed="false">
      <c r="A592" s="10" t="s">
        <v>2745</v>
      </c>
      <c r="B592" s="10" t="s">
        <v>2746</v>
      </c>
      <c r="C592" s="10" t="s">
        <v>1461</v>
      </c>
      <c r="D592" s="10" t="s">
        <v>2747</v>
      </c>
      <c r="E592" s="10" t="s">
        <v>1463</v>
      </c>
    </row>
    <row r="593" customFormat="false" ht="75" hidden="false" customHeight="true" outlineLevel="0" collapsed="false">
      <c r="A593" s="10" t="s">
        <v>2748</v>
      </c>
      <c r="B593" s="10" t="s">
        <v>2749</v>
      </c>
      <c r="C593" s="10" t="s">
        <v>1461</v>
      </c>
      <c r="D593" s="10" t="s">
        <v>1772</v>
      </c>
      <c r="E593" s="10" t="s">
        <v>1463</v>
      </c>
    </row>
    <row r="594" customFormat="false" ht="75" hidden="false" customHeight="true" outlineLevel="0" collapsed="false">
      <c r="A594" s="10" t="s">
        <v>2750</v>
      </c>
      <c r="B594" s="10" t="s">
        <v>2751</v>
      </c>
      <c r="C594" s="10" t="s">
        <v>1461</v>
      </c>
      <c r="D594" s="10" t="s">
        <v>2752</v>
      </c>
      <c r="E594" s="10" t="s">
        <v>1463</v>
      </c>
    </row>
    <row r="595" customFormat="false" ht="75" hidden="false" customHeight="true" outlineLevel="0" collapsed="false">
      <c r="A595" s="10" t="s">
        <v>2753</v>
      </c>
      <c r="B595" s="10" t="s">
        <v>2754</v>
      </c>
      <c r="C595" s="10" t="s">
        <v>1461</v>
      </c>
      <c r="D595" s="10" t="s">
        <v>2755</v>
      </c>
      <c r="E595" s="10" t="s">
        <v>1463</v>
      </c>
    </row>
    <row r="596" customFormat="false" ht="75" hidden="false" customHeight="true" outlineLevel="0" collapsed="false">
      <c r="A596" s="10" t="s">
        <v>2756</v>
      </c>
      <c r="B596" s="10" t="s">
        <v>2757</v>
      </c>
      <c r="C596" s="10" t="s">
        <v>1461</v>
      </c>
      <c r="D596" s="10" t="s">
        <v>2758</v>
      </c>
      <c r="E596" s="10" t="s">
        <v>1463</v>
      </c>
    </row>
    <row r="597" customFormat="false" ht="75" hidden="false" customHeight="true" outlineLevel="0" collapsed="false">
      <c r="A597" s="10" t="s">
        <v>2759</v>
      </c>
      <c r="B597" s="10" t="s">
        <v>2760</v>
      </c>
      <c r="C597" s="10" t="s">
        <v>1461</v>
      </c>
      <c r="D597" s="10" t="s">
        <v>2142</v>
      </c>
      <c r="E597" s="10" t="s">
        <v>1463</v>
      </c>
    </row>
    <row r="598" customFormat="false" ht="75" hidden="false" customHeight="true" outlineLevel="0" collapsed="false">
      <c r="A598" s="10" t="s">
        <v>2761</v>
      </c>
      <c r="B598" s="10" t="s">
        <v>2762</v>
      </c>
      <c r="C598" s="10" t="s">
        <v>1461</v>
      </c>
      <c r="D598" s="10" t="s">
        <v>2763</v>
      </c>
      <c r="E598" s="10" t="s">
        <v>1463</v>
      </c>
    </row>
    <row r="599" customFormat="false" ht="75" hidden="false" customHeight="true" outlineLevel="0" collapsed="false">
      <c r="A599" s="10" t="s">
        <v>2764</v>
      </c>
      <c r="B599" s="10" t="s">
        <v>2765</v>
      </c>
      <c r="C599" s="10" t="s">
        <v>1461</v>
      </c>
      <c r="D599" s="10" t="s">
        <v>2766</v>
      </c>
      <c r="E599" s="10" t="s">
        <v>1463</v>
      </c>
    </row>
    <row r="600" customFormat="false" ht="75" hidden="false" customHeight="true" outlineLevel="0" collapsed="false">
      <c r="A600" s="10" t="s">
        <v>2767</v>
      </c>
      <c r="B600" s="10" t="s">
        <v>2768</v>
      </c>
      <c r="C600" s="10" t="s">
        <v>1461</v>
      </c>
      <c r="D600" s="10" t="s">
        <v>2769</v>
      </c>
      <c r="E600" s="10" t="s">
        <v>1463</v>
      </c>
    </row>
    <row r="601" customFormat="false" ht="75" hidden="false" customHeight="true" outlineLevel="0" collapsed="false">
      <c r="A601" s="10" t="s">
        <v>2770</v>
      </c>
      <c r="B601" s="10" t="s">
        <v>2771</v>
      </c>
      <c r="C601" s="10" t="s">
        <v>1461</v>
      </c>
      <c r="D601" s="10" t="s">
        <v>2772</v>
      </c>
      <c r="E601" s="10" t="s">
        <v>1463</v>
      </c>
    </row>
    <row r="602" customFormat="false" ht="75" hidden="false" customHeight="true" outlineLevel="0" collapsed="false">
      <c r="A602" s="10" t="s">
        <v>2773</v>
      </c>
      <c r="B602" s="10" t="s">
        <v>2774</v>
      </c>
      <c r="C602" s="10" t="s">
        <v>1461</v>
      </c>
      <c r="D602" s="10" t="s">
        <v>1562</v>
      </c>
      <c r="E602" s="10" t="s">
        <v>1463</v>
      </c>
    </row>
    <row r="603" customFormat="false" ht="75" hidden="false" customHeight="true" outlineLevel="0" collapsed="false">
      <c r="A603" s="10" t="s">
        <v>2775</v>
      </c>
      <c r="B603" s="10" t="s">
        <v>2776</v>
      </c>
      <c r="C603" s="10" t="s">
        <v>1461</v>
      </c>
      <c r="D603" s="10" t="s">
        <v>2777</v>
      </c>
      <c r="E603" s="10" t="s">
        <v>1463</v>
      </c>
    </row>
    <row r="604" customFormat="false" ht="75" hidden="false" customHeight="true" outlineLevel="0" collapsed="false">
      <c r="A604" s="10" t="s">
        <v>2778</v>
      </c>
      <c r="B604" s="10" t="s">
        <v>2779</v>
      </c>
      <c r="C604" s="10" t="s">
        <v>1461</v>
      </c>
      <c r="D604" s="10" t="s">
        <v>2780</v>
      </c>
      <c r="E604" s="10" t="s">
        <v>1463</v>
      </c>
    </row>
    <row r="605" customFormat="false" ht="75" hidden="false" customHeight="true" outlineLevel="0" collapsed="false">
      <c r="A605" s="10" t="s">
        <v>2781</v>
      </c>
      <c r="B605" s="10" t="s">
        <v>2782</v>
      </c>
      <c r="C605" s="10" t="s">
        <v>1461</v>
      </c>
      <c r="D605" s="10" t="s">
        <v>2783</v>
      </c>
      <c r="E605" s="10" t="s">
        <v>1463</v>
      </c>
    </row>
    <row r="606" customFormat="false" ht="75" hidden="false" customHeight="true" outlineLevel="0" collapsed="false">
      <c r="A606" s="10" t="s">
        <v>2784</v>
      </c>
      <c r="B606" s="10" t="s">
        <v>2785</v>
      </c>
      <c r="C606" s="10" t="s">
        <v>1461</v>
      </c>
      <c r="D606" s="10" t="s">
        <v>2786</v>
      </c>
      <c r="E606" s="10" t="s">
        <v>1463</v>
      </c>
    </row>
    <row r="607" customFormat="false" ht="75" hidden="false" customHeight="true" outlineLevel="0" collapsed="false">
      <c r="A607" s="10" t="s">
        <v>2787</v>
      </c>
      <c r="B607" s="10" t="s">
        <v>2788</v>
      </c>
      <c r="C607" s="10" t="s">
        <v>1461</v>
      </c>
      <c r="D607" s="10" t="s">
        <v>2789</v>
      </c>
      <c r="E607" s="10" t="s">
        <v>1463</v>
      </c>
    </row>
    <row r="608" customFormat="false" ht="75" hidden="false" customHeight="true" outlineLevel="0" collapsed="false">
      <c r="A608" s="10" t="s">
        <v>2790</v>
      </c>
      <c r="B608" s="10" t="s">
        <v>2791</v>
      </c>
      <c r="C608" s="10" t="s">
        <v>1461</v>
      </c>
      <c r="D608" s="10" t="s">
        <v>2792</v>
      </c>
      <c r="E608" s="10" t="s">
        <v>1463</v>
      </c>
    </row>
    <row r="609" customFormat="false" ht="75" hidden="false" customHeight="true" outlineLevel="0" collapsed="false">
      <c r="A609" s="10" t="s">
        <v>2793</v>
      </c>
      <c r="B609" s="10" t="s">
        <v>2794</v>
      </c>
      <c r="C609" s="10" t="s">
        <v>1461</v>
      </c>
      <c r="D609" s="10" t="s">
        <v>2159</v>
      </c>
      <c r="E609" s="10" t="s">
        <v>1463</v>
      </c>
    </row>
    <row r="610" customFormat="false" ht="75" hidden="false" customHeight="true" outlineLevel="0" collapsed="false">
      <c r="A610" s="10" t="s">
        <v>2795</v>
      </c>
      <c r="B610" s="10" t="s">
        <v>2796</v>
      </c>
      <c r="C610" s="10" t="s">
        <v>1461</v>
      </c>
      <c r="D610" s="10" t="s">
        <v>1948</v>
      </c>
      <c r="E610" s="10" t="s">
        <v>1463</v>
      </c>
    </row>
    <row r="611" customFormat="false" ht="75" hidden="false" customHeight="true" outlineLevel="0" collapsed="false">
      <c r="A611" s="10" t="s">
        <v>2797</v>
      </c>
      <c r="B611" s="10" t="s">
        <v>2798</v>
      </c>
      <c r="C611" s="10" t="s">
        <v>1461</v>
      </c>
      <c r="D611" s="10" t="s">
        <v>2072</v>
      </c>
      <c r="E611" s="10" t="s">
        <v>1463</v>
      </c>
    </row>
    <row r="612" customFormat="false" ht="75" hidden="false" customHeight="true" outlineLevel="0" collapsed="false">
      <c r="A612" s="10" t="s">
        <v>2799</v>
      </c>
      <c r="B612" s="10" t="s">
        <v>2800</v>
      </c>
      <c r="C612" s="10" t="s">
        <v>1461</v>
      </c>
      <c r="D612" s="10" t="s">
        <v>2801</v>
      </c>
      <c r="E612" s="10" t="s">
        <v>1463</v>
      </c>
    </row>
    <row r="613" customFormat="false" ht="75" hidden="false" customHeight="true" outlineLevel="0" collapsed="false">
      <c r="A613" s="10" t="s">
        <v>2802</v>
      </c>
      <c r="B613" s="10" t="s">
        <v>2803</v>
      </c>
      <c r="C613" s="10" t="s">
        <v>1461</v>
      </c>
      <c r="D613" s="10" t="s">
        <v>2804</v>
      </c>
      <c r="E613" s="10" t="s">
        <v>1463</v>
      </c>
    </row>
    <row r="614" customFormat="false" ht="75" hidden="false" customHeight="true" outlineLevel="0" collapsed="false">
      <c r="A614" s="10" t="s">
        <v>2805</v>
      </c>
      <c r="B614" s="10" t="s">
        <v>2806</v>
      </c>
      <c r="C614" s="10" t="s">
        <v>1461</v>
      </c>
      <c r="D614" s="10" t="s">
        <v>2807</v>
      </c>
      <c r="E614" s="10" t="s">
        <v>1463</v>
      </c>
    </row>
    <row r="615" customFormat="false" ht="75" hidden="false" customHeight="true" outlineLevel="0" collapsed="false">
      <c r="A615" s="10" t="s">
        <v>2808</v>
      </c>
      <c r="B615" s="10" t="s">
        <v>2809</v>
      </c>
      <c r="C615" s="10" t="s">
        <v>1461</v>
      </c>
      <c r="D615" s="10" t="s">
        <v>2810</v>
      </c>
      <c r="E615" s="10" t="s">
        <v>1463</v>
      </c>
    </row>
    <row r="616" customFormat="false" ht="75" hidden="false" customHeight="true" outlineLevel="0" collapsed="false">
      <c r="A616" s="10" t="s">
        <v>2811</v>
      </c>
      <c r="B616" s="10" t="s">
        <v>2812</v>
      </c>
      <c r="C616" s="10" t="s">
        <v>1461</v>
      </c>
      <c r="D616" s="10" t="s">
        <v>2038</v>
      </c>
      <c r="E616" s="10" t="s">
        <v>1463</v>
      </c>
    </row>
    <row r="617" customFormat="false" ht="75" hidden="false" customHeight="true" outlineLevel="0" collapsed="false">
      <c r="A617" s="10" t="s">
        <v>2813</v>
      </c>
      <c r="B617" s="10" t="s">
        <v>2814</v>
      </c>
      <c r="C617" s="10" t="s">
        <v>1461</v>
      </c>
      <c r="D617" s="10" t="s">
        <v>2268</v>
      </c>
      <c r="E617" s="10" t="s">
        <v>1463</v>
      </c>
    </row>
    <row r="618" customFormat="false" ht="75" hidden="false" customHeight="true" outlineLevel="0" collapsed="false">
      <c r="A618" s="10" t="s">
        <v>2815</v>
      </c>
      <c r="B618" s="10" t="s">
        <v>2816</v>
      </c>
      <c r="C618" s="10" t="s">
        <v>1461</v>
      </c>
      <c r="D618" s="10" t="s">
        <v>2817</v>
      </c>
      <c r="E618" s="10" t="s">
        <v>1463</v>
      </c>
    </row>
    <row r="619" customFormat="false" ht="75" hidden="false" customHeight="true" outlineLevel="0" collapsed="false">
      <c r="A619" s="10" t="s">
        <v>2818</v>
      </c>
      <c r="B619" s="10" t="s">
        <v>2819</v>
      </c>
      <c r="C619" s="10" t="s">
        <v>1461</v>
      </c>
      <c r="D619" s="10" t="s">
        <v>2820</v>
      </c>
      <c r="E619" s="10" t="s">
        <v>1463</v>
      </c>
    </row>
    <row r="620" customFormat="false" ht="75" hidden="false" customHeight="true" outlineLevel="0" collapsed="false">
      <c r="A620" s="10" t="s">
        <v>2821</v>
      </c>
      <c r="B620" s="10" t="s">
        <v>2822</v>
      </c>
      <c r="C620" s="10" t="s">
        <v>1461</v>
      </c>
      <c r="D620" s="10" t="s">
        <v>2823</v>
      </c>
      <c r="E620" s="10" t="s">
        <v>1463</v>
      </c>
    </row>
    <row r="621" customFormat="false" ht="75" hidden="false" customHeight="true" outlineLevel="0" collapsed="false">
      <c r="A621" s="10" t="s">
        <v>2824</v>
      </c>
      <c r="B621" s="10" t="s">
        <v>2825</v>
      </c>
      <c r="C621" s="10" t="s">
        <v>1461</v>
      </c>
      <c r="D621" s="10" t="s">
        <v>2826</v>
      </c>
      <c r="E621" s="10" t="s">
        <v>1463</v>
      </c>
    </row>
    <row r="622" customFormat="false" ht="75" hidden="false" customHeight="true" outlineLevel="0" collapsed="false">
      <c r="A622" s="10" t="s">
        <v>2827</v>
      </c>
      <c r="B622" s="10" t="s">
        <v>2828</v>
      </c>
      <c r="C622" s="10" t="s">
        <v>1461</v>
      </c>
      <c r="D622" s="10" t="s">
        <v>2159</v>
      </c>
      <c r="E622" s="10" t="s">
        <v>1463</v>
      </c>
    </row>
    <row r="623" customFormat="false" ht="75" hidden="false" customHeight="true" outlineLevel="0" collapsed="false">
      <c r="A623" s="10" t="s">
        <v>2829</v>
      </c>
      <c r="B623" s="10" t="s">
        <v>2830</v>
      </c>
      <c r="C623" s="10" t="s">
        <v>1461</v>
      </c>
      <c r="D623" s="10" t="s">
        <v>2831</v>
      </c>
      <c r="E623" s="10" t="s">
        <v>1463</v>
      </c>
    </row>
    <row r="624" customFormat="false" ht="75" hidden="false" customHeight="true" outlineLevel="0" collapsed="false">
      <c r="A624" s="10" t="s">
        <v>2832</v>
      </c>
      <c r="B624" s="10" t="s">
        <v>2833</v>
      </c>
      <c r="C624" s="10" t="s">
        <v>1461</v>
      </c>
      <c r="D624" s="10" t="s">
        <v>2834</v>
      </c>
      <c r="E624" s="10" t="s">
        <v>1463</v>
      </c>
    </row>
    <row r="625" customFormat="false" ht="75" hidden="false" customHeight="true" outlineLevel="0" collapsed="false">
      <c r="A625" s="10" t="s">
        <v>2835</v>
      </c>
      <c r="B625" s="10" t="s">
        <v>2836</v>
      </c>
      <c r="C625" s="10" t="s">
        <v>1461</v>
      </c>
      <c r="D625" s="10" t="s">
        <v>2837</v>
      </c>
      <c r="E625" s="10" t="s">
        <v>1463</v>
      </c>
    </row>
    <row r="626" customFormat="false" ht="75" hidden="false" customHeight="true" outlineLevel="0" collapsed="false">
      <c r="A626" s="10" t="s">
        <v>2838</v>
      </c>
      <c r="B626" s="10" t="s">
        <v>2839</v>
      </c>
      <c r="C626" s="10" t="s">
        <v>1461</v>
      </c>
      <c r="D626" s="10" t="s">
        <v>2840</v>
      </c>
      <c r="E626" s="10" t="s">
        <v>1463</v>
      </c>
    </row>
    <row r="627" customFormat="false" ht="75" hidden="false" customHeight="true" outlineLevel="0" collapsed="false">
      <c r="A627" s="10" t="s">
        <v>2841</v>
      </c>
      <c r="B627" s="10" t="s">
        <v>2842</v>
      </c>
      <c r="C627" s="10" t="s">
        <v>1461</v>
      </c>
      <c r="D627" s="10" t="s">
        <v>2725</v>
      </c>
      <c r="E627" s="10" t="s">
        <v>1463</v>
      </c>
    </row>
    <row r="628" customFormat="false" ht="75" hidden="false" customHeight="true" outlineLevel="0" collapsed="false">
      <c r="A628" s="10" t="s">
        <v>2843</v>
      </c>
      <c r="B628" s="10" t="s">
        <v>2844</v>
      </c>
      <c r="C628" s="10" t="s">
        <v>1461</v>
      </c>
      <c r="D628" s="10" t="s">
        <v>2845</v>
      </c>
      <c r="E628" s="10" t="s">
        <v>1463</v>
      </c>
    </row>
    <row r="629" customFormat="false" ht="75" hidden="false" customHeight="true" outlineLevel="0" collapsed="false">
      <c r="A629" s="10" t="s">
        <v>2846</v>
      </c>
      <c r="B629" s="10" t="s">
        <v>2847</v>
      </c>
      <c r="C629" s="10" t="s">
        <v>1461</v>
      </c>
      <c r="D629" s="10" t="s">
        <v>2086</v>
      </c>
      <c r="E629" s="10" t="s">
        <v>1463</v>
      </c>
    </row>
    <row r="630" customFormat="false" ht="75" hidden="false" customHeight="true" outlineLevel="0" collapsed="false">
      <c r="A630" s="10" t="s">
        <v>2848</v>
      </c>
      <c r="B630" s="10" t="s">
        <v>2849</v>
      </c>
      <c r="C630" s="10" t="s">
        <v>1461</v>
      </c>
      <c r="D630" s="10" t="s">
        <v>2850</v>
      </c>
      <c r="E630" s="10" t="s">
        <v>1463</v>
      </c>
    </row>
    <row r="631" customFormat="false" ht="75" hidden="false" customHeight="true" outlineLevel="0" collapsed="false">
      <c r="A631" s="10" t="s">
        <v>2851</v>
      </c>
      <c r="B631" s="10" t="s">
        <v>2852</v>
      </c>
      <c r="C631" s="10" t="s">
        <v>1461</v>
      </c>
      <c r="D631" s="10" t="s">
        <v>1641</v>
      </c>
      <c r="E631" s="10" t="s">
        <v>1463</v>
      </c>
    </row>
    <row r="632" customFormat="false" ht="75" hidden="false" customHeight="true" outlineLevel="0" collapsed="false">
      <c r="A632" s="10" t="s">
        <v>2853</v>
      </c>
      <c r="B632" s="10" t="s">
        <v>2854</v>
      </c>
      <c r="C632" s="10" t="s">
        <v>1461</v>
      </c>
      <c r="D632" s="10" t="s">
        <v>2855</v>
      </c>
      <c r="E632" s="10" t="s">
        <v>1463</v>
      </c>
    </row>
    <row r="633" customFormat="false" ht="75" hidden="false" customHeight="true" outlineLevel="0" collapsed="false">
      <c r="A633" s="10" t="s">
        <v>2856</v>
      </c>
      <c r="B633" s="10" t="s">
        <v>2857</v>
      </c>
      <c r="C633" s="10" t="s">
        <v>1461</v>
      </c>
      <c r="D633" s="10" t="s">
        <v>1811</v>
      </c>
      <c r="E633" s="10" t="s">
        <v>1463</v>
      </c>
    </row>
    <row r="634" customFormat="false" ht="75" hidden="false" customHeight="true" outlineLevel="0" collapsed="false">
      <c r="A634" s="10" t="s">
        <v>2858</v>
      </c>
      <c r="B634" s="10" t="s">
        <v>2859</v>
      </c>
      <c r="C634" s="10" t="s">
        <v>1461</v>
      </c>
      <c r="D634" s="10" t="s">
        <v>1673</v>
      </c>
      <c r="E634" s="10" t="s">
        <v>1463</v>
      </c>
    </row>
    <row r="635" customFormat="false" ht="75" hidden="false" customHeight="true" outlineLevel="0" collapsed="false">
      <c r="A635" s="10" t="s">
        <v>2860</v>
      </c>
      <c r="B635" s="10" t="s">
        <v>2861</v>
      </c>
      <c r="C635" s="10" t="s">
        <v>2862</v>
      </c>
      <c r="D635" s="10" t="s">
        <v>2863</v>
      </c>
      <c r="E635" s="10" t="s">
        <v>2864</v>
      </c>
    </row>
    <row r="636" customFormat="false" ht="75" hidden="false" customHeight="true" outlineLevel="0" collapsed="false">
      <c r="A636" s="10" t="s">
        <v>2865</v>
      </c>
      <c r="B636" s="10" t="s">
        <v>2866</v>
      </c>
      <c r="C636" s="10" t="s">
        <v>2867</v>
      </c>
      <c r="D636" s="10" t="s">
        <v>2868</v>
      </c>
      <c r="E636" s="10" t="s">
        <v>2869</v>
      </c>
    </row>
    <row r="637" customFormat="false" ht="75" hidden="false" customHeight="true" outlineLevel="0" collapsed="false">
      <c r="A637" s="10" t="s">
        <v>2870</v>
      </c>
      <c r="B637" s="10" t="s">
        <v>2871</v>
      </c>
      <c r="C637" s="10" t="s">
        <v>2872</v>
      </c>
      <c r="D637" s="10" t="s">
        <v>2873</v>
      </c>
      <c r="E637" s="10" t="s">
        <v>2874</v>
      </c>
    </row>
    <row r="638" customFormat="false" ht="75" hidden="false" customHeight="true" outlineLevel="0" collapsed="false">
      <c r="A638" s="10" t="s">
        <v>2875</v>
      </c>
      <c r="B638" s="10" t="s">
        <v>2876</v>
      </c>
      <c r="C638" s="10" t="s">
        <v>2877</v>
      </c>
      <c r="D638" s="10" t="s">
        <v>2878</v>
      </c>
      <c r="E638" s="10" t="s">
        <v>2879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65"/>
    <col collapsed="false" customWidth="true" hidden="false" outlineLevel="0" max="3" min="3" style="0" width="110"/>
    <col collapsed="false" customWidth="true" hidden="false" outlineLevel="0" max="4" min="4" style="0" width="35"/>
  </cols>
  <sheetData>
    <row r="1" customFormat="false" ht="42" hidden="false" customHeight="true" outlineLevel="0" collapsed="false">
      <c r="A1" s="9" t="s">
        <v>2880</v>
      </c>
      <c r="B1" s="9" t="s">
        <v>2881</v>
      </c>
      <c r="C1" s="9" t="s">
        <v>2882</v>
      </c>
      <c r="D1" s="9" t="s">
        <v>130</v>
      </c>
    </row>
    <row r="2" customFormat="false" ht="99.75" hidden="false" customHeight="true" outlineLevel="0" collapsed="false">
      <c r="A2" s="10" t="s">
        <v>2883</v>
      </c>
      <c r="B2" s="10" t="s">
        <v>2884</v>
      </c>
      <c r="C2" s="10" t="s">
        <v>2885</v>
      </c>
      <c r="D2" s="10" t="s">
        <v>2886</v>
      </c>
    </row>
    <row r="3" customFormat="false" ht="99.75" hidden="false" customHeight="true" outlineLevel="0" collapsed="false">
      <c r="A3" s="10" t="s">
        <v>2887</v>
      </c>
      <c r="B3" s="10" t="s">
        <v>2888</v>
      </c>
      <c r="C3" s="10" t="s">
        <v>2889</v>
      </c>
      <c r="D3" s="10" t="s">
        <v>2886</v>
      </c>
    </row>
    <row r="4" customFormat="false" ht="99.75" hidden="false" customHeight="true" outlineLevel="0" collapsed="false">
      <c r="A4" s="10" t="s">
        <v>2890</v>
      </c>
      <c r="B4" s="10" t="s">
        <v>2891</v>
      </c>
      <c r="C4" s="10" t="s">
        <v>2885</v>
      </c>
      <c r="D4" s="10" t="s">
        <v>2886</v>
      </c>
    </row>
    <row r="5" customFormat="false" ht="99.75" hidden="false" customHeight="true" outlineLevel="0" collapsed="false">
      <c r="A5" s="10" t="s">
        <v>2892</v>
      </c>
      <c r="B5" s="10" t="s">
        <v>2893</v>
      </c>
      <c r="C5" s="10" t="s">
        <v>2894</v>
      </c>
      <c r="D5" s="10" t="s">
        <v>2886</v>
      </c>
    </row>
    <row r="6" customFormat="false" ht="99.75" hidden="false" customHeight="true" outlineLevel="0" collapsed="false">
      <c r="A6" s="10" t="s">
        <v>2895</v>
      </c>
      <c r="B6" s="10" t="s">
        <v>2896</v>
      </c>
      <c r="C6" s="10" t="s">
        <v>2897</v>
      </c>
      <c r="D6" s="10" t="s">
        <v>2886</v>
      </c>
    </row>
    <row r="7" customFormat="false" ht="99.75" hidden="false" customHeight="true" outlineLevel="0" collapsed="false">
      <c r="A7" s="10" t="s">
        <v>2898</v>
      </c>
      <c r="B7" s="10" t="s">
        <v>2899</v>
      </c>
      <c r="C7" s="10" t="s">
        <v>2900</v>
      </c>
      <c r="D7" s="10" t="s">
        <v>2886</v>
      </c>
    </row>
    <row r="8" customFormat="false" ht="99.75" hidden="false" customHeight="true" outlineLevel="0" collapsed="false">
      <c r="A8" s="10" t="s">
        <v>2901</v>
      </c>
      <c r="B8" s="10" t="s">
        <v>2902</v>
      </c>
      <c r="C8" s="10" t="s">
        <v>2903</v>
      </c>
      <c r="D8" s="10" t="s">
        <v>2886</v>
      </c>
    </row>
    <row r="9" customFormat="false" ht="99.75" hidden="false" customHeight="true" outlineLevel="0" collapsed="false">
      <c r="A9" s="10" t="s">
        <v>2904</v>
      </c>
      <c r="B9" s="10" t="s">
        <v>2905</v>
      </c>
      <c r="C9" s="10" t="s">
        <v>2906</v>
      </c>
      <c r="D9" s="10" t="s">
        <v>2886</v>
      </c>
    </row>
    <row r="10" customFormat="false" ht="99.75" hidden="false" customHeight="true" outlineLevel="0" collapsed="false">
      <c r="A10" s="10" t="s">
        <v>2907</v>
      </c>
      <c r="B10" s="10" t="s">
        <v>2908</v>
      </c>
      <c r="C10" s="10" t="s">
        <v>2906</v>
      </c>
      <c r="D10" s="10" t="s">
        <v>2886</v>
      </c>
    </row>
    <row r="11" customFormat="false" ht="99.75" hidden="false" customHeight="true" outlineLevel="0" collapsed="false">
      <c r="A11" s="10" t="s">
        <v>2909</v>
      </c>
      <c r="B11" s="10" t="s">
        <v>2910</v>
      </c>
      <c r="C11" s="10" t="s">
        <v>2911</v>
      </c>
      <c r="D11" s="10" t="s">
        <v>2886</v>
      </c>
    </row>
    <row r="12" customFormat="false" ht="99.75" hidden="false" customHeight="true" outlineLevel="0" collapsed="false">
      <c r="A12" s="10" t="s">
        <v>2912</v>
      </c>
      <c r="B12" s="10" t="s">
        <v>2913</v>
      </c>
      <c r="C12" s="10" t="s">
        <v>2914</v>
      </c>
      <c r="D12" s="10" t="s">
        <v>2886</v>
      </c>
    </row>
    <row r="13" customFormat="false" ht="99.75" hidden="false" customHeight="true" outlineLevel="0" collapsed="false">
      <c r="A13" s="10" t="s">
        <v>2915</v>
      </c>
      <c r="B13" s="10" t="s">
        <v>2916</v>
      </c>
      <c r="C13" s="10" t="s">
        <v>2917</v>
      </c>
      <c r="D13" s="10" t="s">
        <v>2886</v>
      </c>
    </row>
    <row r="14" customFormat="false" ht="99.75" hidden="false" customHeight="true" outlineLevel="0" collapsed="false">
      <c r="A14" s="10" t="s">
        <v>2918</v>
      </c>
      <c r="B14" s="10" t="s">
        <v>2919</v>
      </c>
      <c r="C14" s="10" t="s">
        <v>2920</v>
      </c>
      <c r="D14" s="10" t="s">
        <v>2886</v>
      </c>
    </row>
    <row r="15" customFormat="false" ht="99.75" hidden="false" customHeight="true" outlineLevel="0" collapsed="false">
      <c r="A15" s="10" t="s">
        <v>2921</v>
      </c>
      <c r="B15" s="10" t="s">
        <v>2922</v>
      </c>
      <c r="C15" s="10" t="s">
        <v>2923</v>
      </c>
      <c r="D15" s="10" t="s">
        <v>2886</v>
      </c>
    </row>
    <row r="16" customFormat="false" ht="99.75" hidden="false" customHeight="true" outlineLevel="0" collapsed="false">
      <c r="A16" s="10" t="s">
        <v>2924</v>
      </c>
      <c r="B16" s="10" t="s">
        <v>2925</v>
      </c>
      <c r="C16" s="10" t="s">
        <v>2926</v>
      </c>
      <c r="D16" s="10" t="s">
        <v>2886</v>
      </c>
    </row>
    <row r="17" customFormat="false" ht="99.75" hidden="false" customHeight="true" outlineLevel="0" collapsed="false">
      <c r="A17" s="10" t="s">
        <v>2927</v>
      </c>
      <c r="B17" s="10" t="s">
        <v>2928</v>
      </c>
      <c r="C17" s="10" t="s">
        <v>2929</v>
      </c>
      <c r="D17" s="10" t="s">
        <v>2886</v>
      </c>
    </row>
    <row r="18" customFormat="false" ht="99.75" hidden="false" customHeight="true" outlineLevel="0" collapsed="false">
      <c r="A18" s="10" t="s">
        <v>2930</v>
      </c>
      <c r="B18" s="10" t="s">
        <v>2931</v>
      </c>
      <c r="C18" s="10" t="s">
        <v>2894</v>
      </c>
      <c r="D18" s="10" t="s">
        <v>2886</v>
      </c>
    </row>
    <row r="19" customFormat="false" ht="99.75" hidden="false" customHeight="true" outlineLevel="0" collapsed="false">
      <c r="A19" s="10" t="s">
        <v>2932</v>
      </c>
      <c r="B19" s="10" t="s">
        <v>2933</v>
      </c>
      <c r="C19" s="10" t="s">
        <v>2926</v>
      </c>
      <c r="D19" s="10" t="s">
        <v>2886</v>
      </c>
    </row>
    <row r="20" customFormat="false" ht="99.75" hidden="false" customHeight="true" outlineLevel="0" collapsed="false">
      <c r="A20" s="10" t="s">
        <v>2934</v>
      </c>
      <c r="B20" s="10" t="s">
        <v>2935</v>
      </c>
      <c r="C20" s="10" t="s">
        <v>2936</v>
      </c>
      <c r="D20" s="10" t="s">
        <v>2886</v>
      </c>
    </row>
    <row r="21" customFormat="false" ht="99.75" hidden="false" customHeight="true" outlineLevel="0" collapsed="false">
      <c r="A21" s="10" t="s">
        <v>2937</v>
      </c>
      <c r="B21" s="10" t="s">
        <v>2938</v>
      </c>
      <c r="C21" s="10" t="s">
        <v>2939</v>
      </c>
      <c r="D21" s="10" t="s">
        <v>2886</v>
      </c>
    </row>
    <row r="22" customFormat="false" ht="99.75" hidden="false" customHeight="true" outlineLevel="0" collapsed="false">
      <c r="A22" s="10" t="s">
        <v>2940</v>
      </c>
      <c r="B22" s="10" t="s">
        <v>2941</v>
      </c>
      <c r="C22" s="10" t="s">
        <v>2942</v>
      </c>
      <c r="D22" s="10" t="s">
        <v>2886</v>
      </c>
    </row>
    <row r="23" customFormat="false" ht="99.75" hidden="false" customHeight="true" outlineLevel="0" collapsed="false">
      <c r="A23" s="10" t="s">
        <v>2943</v>
      </c>
      <c r="B23" s="10" t="s">
        <v>2944</v>
      </c>
      <c r="C23" s="10" t="s">
        <v>2894</v>
      </c>
      <c r="D23" s="10" t="s">
        <v>2886</v>
      </c>
    </row>
    <row r="24" customFormat="false" ht="99.75" hidden="false" customHeight="true" outlineLevel="0" collapsed="false">
      <c r="A24" s="10" t="s">
        <v>2945</v>
      </c>
      <c r="B24" s="10" t="s">
        <v>2946</v>
      </c>
      <c r="C24" s="10" t="s">
        <v>2947</v>
      </c>
      <c r="D24" s="10" t="s">
        <v>2886</v>
      </c>
    </row>
    <row r="25" customFormat="false" ht="99.75" hidden="false" customHeight="true" outlineLevel="0" collapsed="false">
      <c r="A25" s="10" t="s">
        <v>2948</v>
      </c>
      <c r="B25" s="10" t="s">
        <v>2949</v>
      </c>
      <c r="C25" s="10" t="s">
        <v>2950</v>
      </c>
      <c r="D25" s="10" t="s">
        <v>2886</v>
      </c>
    </row>
    <row r="26" customFormat="false" ht="99.75" hidden="false" customHeight="true" outlineLevel="0" collapsed="false">
      <c r="A26" s="10" t="s">
        <v>2951</v>
      </c>
      <c r="B26" s="10" t="s">
        <v>2952</v>
      </c>
      <c r="C26" s="10" t="s">
        <v>2953</v>
      </c>
      <c r="D26" s="10" t="s">
        <v>2886</v>
      </c>
    </row>
    <row r="27" customFormat="false" ht="99.75" hidden="false" customHeight="true" outlineLevel="0" collapsed="false">
      <c r="A27" s="10" t="s">
        <v>2954</v>
      </c>
      <c r="B27" s="10" t="s">
        <v>2955</v>
      </c>
      <c r="C27" s="10" t="s">
        <v>2956</v>
      </c>
      <c r="D27" s="10" t="s">
        <v>2886</v>
      </c>
    </row>
    <row r="28" customFormat="false" ht="99.75" hidden="false" customHeight="true" outlineLevel="0" collapsed="false">
      <c r="A28" s="10" t="s">
        <v>2957</v>
      </c>
      <c r="B28" s="10" t="s">
        <v>2958</v>
      </c>
      <c r="C28" s="10" t="s">
        <v>2959</v>
      </c>
      <c r="D28" s="10" t="s">
        <v>2886</v>
      </c>
    </row>
    <row r="29" customFormat="false" ht="99.75" hidden="false" customHeight="true" outlineLevel="0" collapsed="false">
      <c r="A29" s="10" t="s">
        <v>2960</v>
      </c>
      <c r="B29" s="10" t="s">
        <v>2961</v>
      </c>
      <c r="C29" s="10" t="s">
        <v>2962</v>
      </c>
      <c r="D29" s="10" t="s">
        <v>2886</v>
      </c>
    </row>
    <row r="30" customFormat="false" ht="99.75" hidden="false" customHeight="true" outlineLevel="0" collapsed="false">
      <c r="A30" s="10" t="s">
        <v>2963</v>
      </c>
      <c r="B30" s="10" t="s">
        <v>2964</v>
      </c>
      <c r="C30" s="10" t="s">
        <v>2894</v>
      </c>
      <c r="D30" s="10" t="s">
        <v>2886</v>
      </c>
    </row>
    <row r="31" customFormat="false" ht="99.75" hidden="false" customHeight="true" outlineLevel="0" collapsed="false">
      <c r="A31" s="10" t="s">
        <v>2965</v>
      </c>
      <c r="B31" s="10" t="s">
        <v>2966</v>
      </c>
      <c r="C31" s="10" t="s">
        <v>2967</v>
      </c>
      <c r="D31" s="10" t="s">
        <v>2886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55"/>
    <col collapsed="false" customWidth="true" hidden="false" outlineLevel="0" max="3" min="3" style="0" width="90"/>
    <col collapsed="false" customWidth="true" hidden="false" outlineLevel="0" max="4" min="4" style="0" width="60"/>
  </cols>
  <sheetData>
    <row r="1" customFormat="false" ht="42" hidden="false" customHeight="true" outlineLevel="0" collapsed="false">
      <c r="A1" s="9" t="s">
        <v>156</v>
      </c>
      <c r="B1" s="9" t="s">
        <v>2968</v>
      </c>
      <c r="C1" s="9" t="s">
        <v>2969</v>
      </c>
      <c r="D1" s="9" t="s">
        <v>2970</v>
      </c>
    </row>
    <row r="2" customFormat="false" ht="94.5" hidden="false" customHeight="true" outlineLevel="0" collapsed="false">
      <c r="A2" s="10" t="s">
        <v>2971</v>
      </c>
      <c r="B2" s="10" t="s">
        <v>2972</v>
      </c>
      <c r="C2" s="10" t="s">
        <v>2973</v>
      </c>
      <c r="D2" s="10" t="s">
        <v>2974</v>
      </c>
    </row>
    <row r="3" customFormat="false" ht="94.5" hidden="false" customHeight="true" outlineLevel="0" collapsed="false">
      <c r="A3" s="10" t="s">
        <v>2975</v>
      </c>
      <c r="B3" s="10" t="s">
        <v>2976</v>
      </c>
      <c r="C3" s="10" t="s">
        <v>2977</v>
      </c>
      <c r="D3" s="10" t="s">
        <v>2978</v>
      </c>
    </row>
    <row r="4" customFormat="false" ht="94.5" hidden="false" customHeight="true" outlineLevel="0" collapsed="false">
      <c r="A4" s="10" t="s">
        <v>2979</v>
      </c>
      <c r="B4" s="10" t="s">
        <v>2980</v>
      </c>
      <c r="C4" s="10" t="s">
        <v>2981</v>
      </c>
      <c r="D4" s="10" t="s">
        <v>2982</v>
      </c>
    </row>
    <row r="5" customFormat="false" ht="94.5" hidden="false" customHeight="true" outlineLevel="0" collapsed="false">
      <c r="A5" s="10" t="s">
        <v>2983</v>
      </c>
      <c r="B5" s="10" t="s">
        <v>2984</v>
      </c>
      <c r="C5" s="10" t="s">
        <v>2985</v>
      </c>
      <c r="D5" s="10" t="s">
        <v>2986</v>
      </c>
    </row>
    <row r="6" customFormat="false" ht="94.5" hidden="false" customHeight="true" outlineLevel="0" collapsed="false">
      <c r="A6" s="10" t="s">
        <v>2987</v>
      </c>
      <c r="B6" s="10" t="s">
        <v>2988</v>
      </c>
      <c r="C6" s="10" t="s">
        <v>2989</v>
      </c>
      <c r="D6" s="10" t="s">
        <v>2990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5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85"/>
  </cols>
  <sheetData>
    <row r="1" customFormat="false" ht="42" hidden="false" customHeight="true" outlineLevel="0" collapsed="false">
      <c r="A1" s="9" t="s">
        <v>2991</v>
      </c>
      <c r="B1" s="9" t="s">
        <v>2992</v>
      </c>
      <c r="C1" s="9" t="s">
        <v>2993</v>
      </c>
      <c r="D1" s="9" t="s">
        <v>2994</v>
      </c>
    </row>
    <row r="2" customFormat="false" ht="57.75" hidden="false" customHeight="true" outlineLevel="0" collapsed="false">
      <c r="A2" s="10" t="s">
        <v>2995</v>
      </c>
      <c r="B2" s="10" t="s">
        <v>2996</v>
      </c>
      <c r="C2" s="10" t="s">
        <v>2997</v>
      </c>
      <c r="D2" s="10" t="s">
        <v>2998</v>
      </c>
    </row>
    <row r="3" customFormat="false" ht="57.75" hidden="false" customHeight="true" outlineLevel="0" collapsed="false">
      <c r="A3" s="10" t="s">
        <v>937</v>
      </c>
      <c r="B3" s="10" t="s">
        <v>2996</v>
      </c>
      <c r="C3" s="10" t="s">
        <v>2997</v>
      </c>
      <c r="D3" s="10" t="s">
        <v>2998</v>
      </c>
    </row>
    <row r="4" customFormat="false" ht="57.75" hidden="false" customHeight="true" outlineLevel="0" collapsed="false">
      <c r="A4" s="10" t="s">
        <v>2999</v>
      </c>
      <c r="B4" s="10" t="s">
        <v>2996</v>
      </c>
      <c r="C4" s="10" t="s">
        <v>2997</v>
      </c>
      <c r="D4" s="10" t="s">
        <v>2998</v>
      </c>
    </row>
    <row r="5" customFormat="false" ht="57.75" hidden="false" customHeight="true" outlineLevel="0" collapsed="false">
      <c r="A5" s="10" t="s">
        <v>3000</v>
      </c>
      <c r="B5" s="10" t="s">
        <v>2996</v>
      </c>
      <c r="C5" s="10" t="s">
        <v>2997</v>
      </c>
      <c r="D5" s="10" t="s">
        <v>2998</v>
      </c>
    </row>
    <row r="6" customFormat="false" ht="57.75" hidden="false" customHeight="true" outlineLevel="0" collapsed="false">
      <c r="A6" s="10" t="s">
        <v>3001</v>
      </c>
      <c r="B6" s="10" t="s">
        <v>2996</v>
      </c>
      <c r="C6" s="10" t="s">
        <v>2997</v>
      </c>
      <c r="D6" s="10" t="s">
        <v>2998</v>
      </c>
    </row>
    <row r="7" customFormat="false" ht="57.75" hidden="false" customHeight="true" outlineLevel="0" collapsed="false">
      <c r="A7" s="10" t="s">
        <v>3002</v>
      </c>
      <c r="B7" s="10" t="s">
        <v>2996</v>
      </c>
      <c r="C7" s="10" t="s">
        <v>2997</v>
      </c>
      <c r="D7" s="10" t="s">
        <v>2998</v>
      </c>
    </row>
    <row r="8" customFormat="false" ht="57.75" hidden="false" customHeight="true" outlineLevel="0" collapsed="false">
      <c r="A8" s="10" t="s">
        <v>3003</v>
      </c>
      <c r="B8" s="10" t="s">
        <v>2996</v>
      </c>
      <c r="C8" s="10" t="s">
        <v>2997</v>
      </c>
      <c r="D8" s="10" t="s">
        <v>2998</v>
      </c>
    </row>
    <row r="9" customFormat="false" ht="57.75" hidden="false" customHeight="true" outlineLevel="0" collapsed="false">
      <c r="A9" s="10" t="s">
        <v>3004</v>
      </c>
      <c r="B9" s="10" t="s">
        <v>2996</v>
      </c>
      <c r="C9" s="10" t="s">
        <v>2997</v>
      </c>
      <c r="D9" s="10" t="s">
        <v>2998</v>
      </c>
    </row>
    <row r="10" customFormat="false" ht="57.75" hidden="false" customHeight="true" outlineLevel="0" collapsed="false">
      <c r="A10" s="10" t="s">
        <v>3005</v>
      </c>
      <c r="B10" s="10" t="s">
        <v>2996</v>
      </c>
      <c r="C10" s="10" t="s">
        <v>2997</v>
      </c>
      <c r="D10" s="10" t="s">
        <v>2998</v>
      </c>
    </row>
    <row r="11" customFormat="false" ht="57.75" hidden="false" customHeight="true" outlineLevel="0" collapsed="false">
      <c r="A11" s="10" t="s">
        <v>3006</v>
      </c>
      <c r="B11" s="10" t="s">
        <v>2996</v>
      </c>
      <c r="C11" s="10" t="s">
        <v>2997</v>
      </c>
      <c r="D11" s="10" t="s">
        <v>2998</v>
      </c>
    </row>
    <row r="12" customFormat="false" ht="57.75" hidden="false" customHeight="true" outlineLevel="0" collapsed="false">
      <c r="A12" s="10" t="s">
        <v>3007</v>
      </c>
      <c r="B12" s="10" t="s">
        <v>2996</v>
      </c>
      <c r="C12" s="10" t="s">
        <v>2997</v>
      </c>
      <c r="D12" s="10" t="s">
        <v>2998</v>
      </c>
    </row>
    <row r="13" customFormat="false" ht="57.75" hidden="false" customHeight="true" outlineLevel="0" collapsed="false">
      <c r="A13" s="10" t="s">
        <v>3008</v>
      </c>
      <c r="B13" s="10" t="s">
        <v>2996</v>
      </c>
      <c r="C13" s="10" t="s">
        <v>2997</v>
      </c>
      <c r="D13" s="10" t="s">
        <v>2998</v>
      </c>
    </row>
    <row r="14" customFormat="false" ht="57.75" hidden="false" customHeight="true" outlineLevel="0" collapsed="false">
      <c r="A14" s="10" t="s">
        <v>3009</v>
      </c>
      <c r="B14" s="10" t="s">
        <v>2996</v>
      </c>
      <c r="C14" s="10" t="s">
        <v>2997</v>
      </c>
      <c r="D14" s="10" t="s">
        <v>2998</v>
      </c>
    </row>
    <row r="15" customFormat="false" ht="57.75" hidden="false" customHeight="true" outlineLevel="0" collapsed="false">
      <c r="A15" s="10" t="s">
        <v>3010</v>
      </c>
      <c r="B15" s="10" t="s">
        <v>2996</v>
      </c>
      <c r="C15" s="10" t="s">
        <v>2997</v>
      </c>
      <c r="D15" s="10" t="s">
        <v>2998</v>
      </c>
    </row>
    <row r="16" customFormat="false" ht="57.75" hidden="false" customHeight="true" outlineLevel="0" collapsed="false">
      <c r="A16" s="10" t="s">
        <v>3011</v>
      </c>
      <c r="B16" s="10" t="s">
        <v>2996</v>
      </c>
      <c r="C16" s="10" t="s">
        <v>2997</v>
      </c>
      <c r="D16" s="10" t="s">
        <v>2998</v>
      </c>
    </row>
    <row r="17" customFormat="false" ht="57.75" hidden="false" customHeight="true" outlineLevel="0" collapsed="false">
      <c r="A17" s="10" t="s">
        <v>3012</v>
      </c>
      <c r="B17" s="10" t="s">
        <v>2996</v>
      </c>
      <c r="C17" s="10" t="s">
        <v>2997</v>
      </c>
      <c r="D17" s="10" t="s">
        <v>2998</v>
      </c>
    </row>
    <row r="18" customFormat="false" ht="57.75" hidden="false" customHeight="true" outlineLevel="0" collapsed="false">
      <c r="A18" s="10" t="s">
        <v>3013</v>
      </c>
      <c r="B18" s="10" t="s">
        <v>2996</v>
      </c>
      <c r="C18" s="10" t="s">
        <v>2997</v>
      </c>
      <c r="D18" s="10" t="s">
        <v>2998</v>
      </c>
    </row>
    <row r="19" customFormat="false" ht="57.75" hidden="false" customHeight="true" outlineLevel="0" collapsed="false">
      <c r="A19" s="10" t="s">
        <v>3014</v>
      </c>
      <c r="B19" s="10" t="s">
        <v>2996</v>
      </c>
      <c r="C19" s="10" t="s">
        <v>2997</v>
      </c>
      <c r="D19" s="10" t="s">
        <v>2998</v>
      </c>
    </row>
    <row r="20" customFormat="false" ht="57.75" hidden="false" customHeight="true" outlineLevel="0" collapsed="false">
      <c r="A20" s="10" t="s">
        <v>3015</v>
      </c>
      <c r="B20" s="10" t="s">
        <v>2996</v>
      </c>
      <c r="C20" s="10" t="s">
        <v>2997</v>
      </c>
      <c r="D20" s="10" t="s">
        <v>2998</v>
      </c>
    </row>
    <row r="21" customFormat="false" ht="57.75" hidden="false" customHeight="true" outlineLevel="0" collapsed="false">
      <c r="A21" s="10" t="s">
        <v>3016</v>
      </c>
      <c r="B21" s="10" t="s">
        <v>2996</v>
      </c>
      <c r="C21" s="10" t="s">
        <v>2997</v>
      </c>
      <c r="D21" s="10" t="s">
        <v>2998</v>
      </c>
    </row>
    <row r="22" customFormat="false" ht="57.75" hidden="false" customHeight="true" outlineLevel="0" collapsed="false">
      <c r="A22" s="10" t="s">
        <v>3017</v>
      </c>
      <c r="B22" s="10" t="s">
        <v>2996</v>
      </c>
      <c r="C22" s="10" t="s">
        <v>2997</v>
      </c>
      <c r="D22" s="10" t="s">
        <v>2998</v>
      </c>
    </row>
    <row r="23" customFormat="false" ht="57.75" hidden="false" customHeight="true" outlineLevel="0" collapsed="false">
      <c r="A23" s="10" t="s">
        <v>3018</v>
      </c>
      <c r="B23" s="10" t="s">
        <v>2996</v>
      </c>
      <c r="C23" s="10" t="s">
        <v>2997</v>
      </c>
      <c r="D23" s="10" t="s">
        <v>2998</v>
      </c>
    </row>
    <row r="24" customFormat="false" ht="57.75" hidden="false" customHeight="true" outlineLevel="0" collapsed="false">
      <c r="A24" s="10" t="s">
        <v>3019</v>
      </c>
      <c r="B24" s="10" t="s">
        <v>2996</v>
      </c>
      <c r="C24" s="10" t="s">
        <v>2997</v>
      </c>
      <c r="D24" s="10" t="s">
        <v>2998</v>
      </c>
    </row>
    <row r="25" customFormat="false" ht="57.75" hidden="false" customHeight="true" outlineLevel="0" collapsed="false">
      <c r="A25" s="10" t="s">
        <v>3020</v>
      </c>
      <c r="B25" s="10" t="s">
        <v>2996</v>
      </c>
      <c r="C25" s="10" t="s">
        <v>2997</v>
      </c>
      <c r="D25" s="10" t="s">
        <v>2998</v>
      </c>
    </row>
    <row r="26" customFormat="false" ht="57.75" hidden="false" customHeight="true" outlineLevel="0" collapsed="false">
      <c r="A26" s="10" t="s">
        <v>3021</v>
      </c>
      <c r="B26" s="10" t="s">
        <v>3022</v>
      </c>
      <c r="C26" s="10" t="s">
        <v>3023</v>
      </c>
      <c r="D26" s="10" t="s">
        <v>3024</v>
      </c>
    </row>
    <row r="27" customFormat="false" ht="57.75" hidden="false" customHeight="true" outlineLevel="0" collapsed="false">
      <c r="A27" s="10" t="s">
        <v>3025</v>
      </c>
      <c r="B27" s="10" t="s">
        <v>3022</v>
      </c>
      <c r="C27" s="10" t="s">
        <v>3023</v>
      </c>
      <c r="D27" s="10" t="s">
        <v>3024</v>
      </c>
    </row>
    <row r="28" customFormat="false" ht="57.75" hidden="false" customHeight="true" outlineLevel="0" collapsed="false">
      <c r="A28" s="10" t="s">
        <v>3026</v>
      </c>
      <c r="B28" s="10" t="s">
        <v>3022</v>
      </c>
      <c r="C28" s="10" t="s">
        <v>3023</v>
      </c>
      <c r="D28" s="10" t="s">
        <v>3024</v>
      </c>
    </row>
    <row r="29" customFormat="false" ht="57.75" hidden="false" customHeight="true" outlineLevel="0" collapsed="false">
      <c r="A29" s="10" t="s">
        <v>3027</v>
      </c>
      <c r="B29" s="10" t="s">
        <v>3022</v>
      </c>
      <c r="C29" s="10" t="s">
        <v>3023</v>
      </c>
      <c r="D29" s="10" t="s">
        <v>3024</v>
      </c>
    </row>
    <row r="30" customFormat="false" ht="57.75" hidden="false" customHeight="true" outlineLevel="0" collapsed="false">
      <c r="A30" s="10" t="s">
        <v>3028</v>
      </c>
      <c r="B30" s="10" t="s">
        <v>3022</v>
      </c>
      <c r="C30" s="10" t="s">
        <v>3023</v>
      </c>
      <c r="D30" s="10" t="s">
        <v>3024</v>
      </c>
    </row>
    <row r="31" customFormat="false" ht="57.75" hidden="false" customHeight="true" outlineLevel="0" collapsed="false">
      <c r="A31" s="10" t="s">
        <v>3029</v>
      </c>
      <c r="B31" s="10" t="s">
        <v>3022</v>
      </c>
      <c r="C31" s="10" t="s">
        <v>3023</v>
      </c>
      <c r="D31" s="10" t="s">
        <v>3024</v>
      </c>
    </row>
    <row r="32" customFormat="false" ht="57.75" hidden="false" customHeight="true" outlineLevel="0" collapsed="false">
      <c r="A32" s="10" t="s">
        <v>3030</v>
      </c>
      <c r="B32" s="10" t="s">
        <v>3022</v>
      </c>
      <c r="C32" s="10" t="s">
        <v>3023</v>
      </c>
      <c r="D32" s="10" t="s">
        <v>3024</v>
      </c>
    </row>
    <row r="33" customFormat="false" ht="57.75" hidden="false" customHeight="true" outlineLevel="0" collapsed="false">
      <c r="A33" s="10" t="s">
        <v>3031</v>
      </c>
      <c r="B33" s="10" t="s">
        <v>3022</v>
      </c>
      <c r="C33" s="10" t="s">
        <v>3023</v>
      </c>
      <c r="D33" s="10" t="s">
        <v>3024</v>
      </c>
    </row>
    <row r="34" customFormat="false" ht="57.75" hidden="false" customHeight="true" outlineLevel="0" collapsed="false">
      <c r="A34" s="10" t="s">
        <v>3032</v>
      </c>
      <c r="B34" s="10" t="s">
        <v>3022</v>
      </c>
      <c r="C34" s="10" t="s">
        <v>3023</v>
      </c>
      <c r="D34" s="10" t="s">
        <v>3024</v>
      </c>
    </row>
    <row r="35" customFormat="false" ht="57.75" hidden="false" customHeight="true" outlineLevel="0" collapsed="false">
      <c r="A35" s="10" t="s">
        <v>3033</v>
      </c>
      <c r="B35" s="10" t="s">
        <v>3022</v>
      </c>
      <c r="C35" s="10" t="s">
        <v>3023</v>
      </c>
      <c r="D35" s="10" t="s">
        <v>3024</v>
      </c>
    </row>
    <row r="36" customFormat="false" ht="57.75" hidden="false" customHeight="true" outlineLevel="0" collapsed="false">
      <c r="A36" s="10" t="s">
        <v>3034</v>
      </c>
      <c r="B36" s="10" t="s">
        <v>3022</v>
      </c>
      <c r="C36" s="10" t="s">
        <v>3023</v>
      </c>
      <c r="D36" s="10" t="s">
        <v>3024</v>
      </c>
    </row>
    <row r="37" customFormat="false" ht="57.75" hidden="false" customHeight="true" outlineLevel="0" collapsed="false">
      <c r="A37" s="10" t="s">
        <v>3035</v>
      </c>
      <c r="B37" s="10" t="s">
        <v>3022</v>
      </c>
      <c r="C37" s="10" t="s">
        <v>3023</v>
      </c>
      <c r="D37" s="10" t="s">
        <v>3024</v>
      </c>
    </row>
    <row r="38" customFormat="false" ht="57.75" hidden="false" customHeight="true" outlineLevel="0" collapsed="false">
      <c r="A38" s="10" t="s">
        <v>3036</v>
      </c>
      <c r="B38" s="10" t="s">
        <v>3022</v>
      </c>
      <c r="C38" s="10" t="s">
        <v>3023</v>
      </c>
      <c r="D38" s="10" t="s">
        <v>3024</v>
      </c>
    </row>
    <row r="39" customFormat="false" ht="57.75" hidden="false" customHeight="true" outlineLevel="0" collapsed="false">
      <c r="A39" s="10" t="s">
        <v>3037</v>
      </c>
      <c r="B39" s="10" t="s">
        <v>3022</v>
      </c>
      <c r="C39" s="10" t="s">
        <v>3023</v>
      </c>
      <c r="D39" s="10" t="s">
        <v>3024</v>
      </c>
    </row>
    <row r="40" customFormat="false" ht="57.75" hidden="false" customHeight="true" outlineLevel="0" collapsed="false">
      <c r="A40" s="10" t="s">
        <v>3038</v>
      </c>
      <c r="B40" s="10" t="s">
        <v>3022</v>
      </c>
      <c r="C40" s="10" t="s">
        <v>3023</v>
      </c>
      <c r="D40" s="10" t="s">
        <v>3024</v>
      </c>
    </row>
    <row r="41" customFormat="false" ht="57.75" hidden="false" customHeight="true" outlineLevel="0" collapsed="false">
      <c r="A41" s="10" t="s">
        <v>3039</v>
      </c>
      <c r="B41" s="10" t="s">
        <v>3022</v>
      </c>
      <c r="C41" s="10" t="s">
        <v>3023</v>
      </c>
      <c r="D41" s="10" t="s">
        <v>3024</v>
      </c>
    </row>
    <row r="42" customFormat="false" ht="57.75" hidden="false" customHeight="true" outlineLevel="0" collapsed="false">
      <c r="A42" s="10" t="s">
        <v>3040</v>
      </c>
      <c r="B42" s="10" t="s">
        <v>3022</v>
      </c>
      <c r="C42" s="10" t="s">
        <v>3023</v>
      </c>
      <c r="D42" s="10" t="s">
        <v>3024</v>
      </c>
    </row>
    <row r="43" customFormat="false" ht="57.75" hidden="false" customHeight="true" outlineLevel="0" collapsed="false">
      <c r="A43" s="10" t="s">
        <v>3041</v>
      </c>
      <c r="B43" s="10" t="s">
        <v>3022</v>
      </c>
      <c r="C43" s="10" t="s">
        <v>3023</v>
      </c>
      <c r="D43" s="10" t="s">
        <v>3024</v>
      </c>
    </row>
    <row r="44" customFormat="false" ht="57.75" hidden="false" customHeight="true" outlineLevel="0" collapsed="false">
      <c r="A44" s="10" t="s">
        <v>3042</v>
      </c>
      <c r="B44" s="10" t="s">
        <v>3022</v>
      </c>
      <c r="C44" s="10" t="s">
        <v>3023</v>
      </c>
      <c r="D44" s="10" t="s">
        <v>3024</v>
      </c>
    </row>
    <row r="45" customFormat="false" ht="57.75" hidden="false" customHeight="true" outlineLevel="0" collapsed="false">
      <c r="A45" s="10" t="s">
        <v>3043</v>
      </c>
      <c r="B45" s="10" t="s">
        <v>3022</v>
      </c>
      <c r="C45" s="10" t="s">
        <v>3023</v>
      </c>
      <c r="D45" s="10" t="s">
        <v>3024</v>
      </c>
    </row>
    <row r="46" customFormat="false" ht="57.75" hidden="false" customHeight="true" outlineLevel="0" collapsed="false">
      <c r="A46" s="10" t="s">
        <v>3044</v>
      </c>
      <c r="B46" s="10" t="s">
        <v>3022</v>
      </c>
      <c r="C46" s="10" t="s">
        <v>3023</v>
      </c>
      <c r="D46" s="10" t="s">
        <v>3024</v>
      </c>
    </row>
    <row r="47" customFormat="false" ht="57.75" hidden="false" customHeight="true" outlineLevel="0" collapsed="false">
      <c r="A47" s="10" t="s">
        <v>3045</v>
      </c>
      <c r="B47" s="10" t="s">
        <v>3022</v>
      </c>
      <c r="C47" s="10" t="s">
        <v>3023</v>
      </c>
      <c r="D47" s="10" t="s">
        <v>3024</v>
      </c>
    </row>
    <row r="48" customFormat="false" ht="57.75" hidden="false" customHeight="true" outlineLevel="0" collapsed="false">
      <c r="A48" s="10" t="s">
        <v>3046</v>
      </c>
      <c r="B48" s="10" t="s">
        <v>3022</v>
      </c>
      <c r="C48" s="10" t="s">
        <v>3023</v>
      </c>
      <c r="D48" s="10" t="s">
        <v>3024</v>
      </c>
    </row>
    <row r="49" customFormat="false" ht="57.75" hidden="false" customHeight="true" outlineLevel="0" collapsed="false">
      <c r="A49" s="10" t="s">
        <v>3047</v>
      </c>
      <c r="B49" s="10" t="s">
        <v>3022</v>
      </c>
      <c r="C49" s="10" t="s">
        <v>3023</v>
      </c>
      <c r="D49" s="10" t="s">
        <v>3024</v>
      </c>
    </row>
    <row r="50" customFormat="false" ht="57.75" hidden="false" customHeight="true" outlineLevel="0" collapsed="false">
      <c r="A50" s="10" t="s">
        <v>3048</v>
      </c>
      <c r="B50" s="10" t="s">
        <v>3022</v>
      </c>
      <c r="C50" s="10" t="s">
        <v>3023</v>
      </c>
      <c r="D50" s="10" t="s">
        <v>3024</v>
      </c>
    </row>
    <row r="51" customFormat="false" ht="57.75" hidden="false" customHeight="true" outlineLevel="0" collapsed="false">
      <c r="A51" s="10" t="s">
        <v>3049</v>
      </c>
      <c r="B51" s="10" t="s">
        <v>3022</v>
      </c>
      <c r="C51" s="10" t="s">
        <v>3023</v>
      </c>
      <c r="D51" s="10" t="s">
        <v>3024</v>
      </c>
    </row>
    <row r="52" customFormat="false" ht="57.75" hidden="false" customHeight="true" outlineLevel="0" collapsed="false">
      <c r="A52" s="10" t="s">
        <v>3050</v>
      </c>
      <c r="B52" s="10" t="s">
        <v>3022</v>
      </c>
      <c r="C52" s="10" t="s">
        <v>3023</v>
      </c>
      <c r="D52" s="10" t="s">
        <v>3024</v>
      </c>
    </row>
    <row r="53" customFormat="false" ht="57.75" hidden="false" customHeight="true" outlineLevel="0" collapsed="false">
      <c r="A53" s="10" t="s">
        <v>3051</v>
      </c>
      <c r="B53" s="10" t="s">
        <v>3022</v>
      </c>
      <c r="C53" s="10" t="s">
        <v>3023</v>
      </c>
      <c r="D53" s="10" t="s">
        <v>3024</v>
      </c>
    </row>
    <row r="54" customFormat="false" ht="57.75" hidden="false" customHeight="true" outlineLevel="0" collapsed="false">
      <c r="A54" s="10" t="s">
        <v>3052</v>
      </c>
      <c r="B54" s="10" t="s">
        <v>3022</v>
      </c>
      <c r="C54" s="10" t="s">
        <v>3023</v>
      </c>
      <c r="D54" s="10" t="s">
        <v>3024</v>
      </c>
    </row>
    <row r="55" customFormat="false" ht="57.75" hidden="false" customHeight="true" outlineLevel="0" collapsed="false">
      <c r="A55" s="10" t="s">
        <v>3053</v>
      </c>
      <c r="B55" s="10" t="s">
        <v>3022</v>
      </c>
      <c r="C55" s="10" t="s">
        <v>3023</v>
      </c>
      <c r="D55" s="10" t="s">
        <v>3024</v>
      </c>
    </row>
    <row r="56" customFormat="false" ht="57.75" hidden="false" customHeight="true" outlineLevel="0" collapsed="false">
      <c r="A56" s="10" t="s">
        <v>3054</v>
      </c>
      <c r="B56" s="10" t="s">
        <v>3022</v>
      </c>
      <c r="C56" s="10" t="s">
        <v>3023</v>
      </c>
      <c r="D56" s="10" t="s">
        <v>3024</v>
      </c>
    </row>
    <row r="57" customFormat="false" ht="57.75" hidden="false" customHeight="true" outlineLevel="0" collapsed="false">
      <c r="A57" s="10" t="s">
        <v>3055</v>
      </c>
      <c r="B57" s="10" t="s">
        <v>3022</v>
      </c>
      <c r="C57" s="10" t="s">
        <v>3023</v>
      </c>
      <c r="D57" s="10" t="s">
        <v>3024</v>
      </c>
    </row>
    <row r="58" customFormat="false" ht="57.75" hidden="false" customHeight="true" outlineLevel="0" collapsed="false">
      <c r="A58" s="10" t="s">
        <v>3056</v>
      </c>
      <c r="B58" s="10" t="s">
        <v>3022</v>
      </c>
      <c r="C58" s="10" t="s">
        <v>3023</v>
      </c>
      <c r="D58" s="10" t="s">
        <v>3024</v>
      </c>
    </row>
    <row r="59" customFormat="false" ht="57.75" hidden="false" customHeight="true" outlineLevel="0" collapsed="false">
      <c r="A59" s="10" t="s">
        <v>3057</v>
      </c>
      <c r="B59" s="10" t="s">
        <v>3022</v>
      </c>
      <c r="C59" s="10" t="s">
        <v>3023</v>
      </c>
      <c r="D59" s="10" t="s">
        <v>3024</v>
      </c>
    </row>
    <row r="60" customFormat="false" ht="57.75" hidden="false" customHeight="true" outlineLevel="0" collapsed="false">
      <c r="A60" s="10" t="s">
        <v>3058</v>
      </c>
      <c r="B60" s="10" t="s">
        <v>3022</v>
      </c>
      <c r="C60" s="10" t="s">
        <v>3023</v>
      </c>
      <c r="D60" s="10" t="s">
        <v>3024</v>
      </c>
    </row>
    <row r="61" customFormat="false" ht="57.75" hidden="false" customHeight="true" outlineLevel="0" collapsed="false">
      <c r="A61" s="10" t="s">
        <v>3059</v>
      </c>
      <c r="B61" s="10" t="s">
        <v>3022</v>
      </c>
      <c r="C61" s="10" t="s">
        <v>3023</v>
      </c>
      <c r="D61" s="10" t="s">
        <v>3024</v>
      </c>
    </row>
    <row r="62" customFormat="false" ht="57.75" hidden="false" customHeight="true" outlineLevel="0" collapsed="false">
      <c r="A62" s="10" t="s">
        <v>3060</v>
      </c>
      <c r="B62" s="10" t="s">
        <v>3022</v>
      </c>
      <c r="C62" s="10" t="s">
        <v>3023</v>
      </c>
      <c r="D62" s="10" t="s">
        <v>3024</v>
      </c>
    </row>
    <row r="63" customFormat="false" ht="57.75" hidden="false" customHeight="true" outlineLevel="0" collapsed="false">
      <c r="A63" s="10" t="s">
        <v>3061</v>
      </c>
      <c r="B63" s="10" t="s">
        <v>3022</v>
      </c>
      <c r="C63" s="10" t="s">
        <v>3023</v>
      </c>
      <c r="D63" s="10" t="s">
        <v>3024</v>
      </c>
    </row>
    <row r="64" customFormat="false" ht="57.75" hidden="false" customHeight="true" outlineLevel="0" collapsed="false">
      <c r="A64" s="10" t="s">
        <v>3062</v>
      </c>
      <c r="B64" s="10" t="s">
        <v>3022</v>
      </c>
      <c r="C64" s="10" t="s">
        <v>3023</v>
      </c>
      <c r="D64" s="10" t="s">
        <v>3024</v>
      </c>
    </row>
    <row r="65" customFormat="false" ht="57.75" hidden="false" customHeight="true" outlineLevel="0" collapsed="false">
      <c r="A65" s="10" t="s">
        <v>3063</v>
      </c>
      <c r="B65" s="10" t="s">
        <v>3022</v>
      </c>
      <c r="C65" s="10" t="s">
        <v>3023</v>
      </c>
      <c r="D65" s="10" t="s">
        <v>3024</v>
      </c>
    </row>
    <row r="66" customFormat="false" ht="57.75" hidden="false" customHeight="true" outlineLevel="0" collapsed="false">
      <c r="A66" s="10" t="s">
        <v>3064</v>
      </c>
      <c r="B66" s="10" t="s">
        <v>3022</v>
      </c>
      <c r="C66" s="10" t="s">
        <v>3023</v>
      </c>
      <c r="D66" s="10" t="s">
        <v>3024</v>
      </c>
    </row>
    <row r="67" customFormat="false" ht="57.75" hidden="false" customHeight="true" outlineLevel="0" collapsed="false">
      <c r="A67" s="10" t="s">
        <v>3065</v>
      </c>
      <c r="B67" s="10" t="s">
        <v>3022</v>
      </c>
      <c r="C67" s="10" t="s">
        <v>3023</v>
      </c>
      <c r="D67" s="10" t="s">
        <v>3024</v>
      </c>
    </row>
    <row r="68" customFormat="false" ht="57.75" hidden="false" customHeight="true" outlineLevel="0" collapsed="false">
      <c r="A68" s="10" t="s">
        <v>3066</v>
      </c>
      <c r="B68" s="10" t="s">
        <v>3022</v>
      </c>
      <c r="C68" s="10" t="s">
        <v>3023</v>
      </c>
      <c r="D68" s="10" t="s">
        <v>3024</v>
      </c>
    </row>
    <row r="69" customFormat="false" ht="57.75" hidden="false" customHeight="true" outlineLevel="0" collapsed="false">
      <c r="A69" s="10" t="s">
        <v>3067</v>
      </c>
      <c r="B69" s="10" t="s">
        <v>3022</v>
      </c>
      <c r="C69" s="10" t="s">
        <v>3023</v>
      </c>
      <c r="D69" s="10" t="s">
        <v>3024</v>
      </c>
    </row>
    <row r="70" customFormat="false" ht="57.75" hidden="false" customHeight="true" outlineLevel="0" collapsed="false">
      <c r="A70" s="10" t="s">
        <v>3068</v>
      </c>
      <c r="B70" s="10" t="s">
        <v>3022</v>
      </c>
      <c r="C70" s="10" t="s">
        <v>3023</v>
      </c>
      <c r="D70" s="10" t="s">
        <v>3024</v>
      </c>
    </row>
    <row r="71" customFormat="false" ht="57.75" hidden="false" customHeight="true" outlineLevel="0" collapsed="false">
      <c r="A71" s="10" t="s">
        <v>3069</v>
      </c>
      <c r="B71" s="10" t="s">
        <v>3022</v>
      </c>
      <c r="C71" s="10" t="s">
        <v>3023</v>
      </c>
      <c r="D71" s="10" t="s">
        <v>3024</v>
      </c>
    </row>
    <row r="72" customFormat="false" ht="57.75" hidden="false" customHeight="true" outlineLevel="0" collapsed="false">
      <c r="A72" s="10" t="s">
        <v>3070</v>
      </c>
      <c r="B72" s="10" t="s">
        <v>3022</v>
      </c>
      <c r="C72" s="10" t="s">
        <v>3023</v>
      </c>
      <c r="D72" s="10" t="s">
        <v>3024</v>
      </c>
    </row>
    <row r="73" customFormat="false" ht="57.75" hidden="false" customHeight="true" outlineLevel="0" collapsed="false">
      <c r="A73" s="10" t="s">
        <v>3071</v>
      </c>
      <c r="B73" s="10" t="s">
        <v>3022</v>
      </c>
      <c r="C73" s="10" t="s">
        <v>3023</v>
      </c>
      <c r="D73" s="10" t="s">
        <v>3024</v>
      </c>
    </row>
    <row r="74" customFormat="false" ht="57.75" hidden="false" customHeight="true" outlineLevel="0" collapsed="false">
      <c r="A74" s="10" t="s">
        <v>3072</v>
      </c>
      <c r="B74" s="10" t="s">
        <v>3022</v>
      </c>
      <c r="C74" s="10" t="s">
        <v>3023</v>
      </c>
      <c r="D74" s="10" t="s">
        <v>3024</v>
      </c>
    </row>
    <row r="75" customFormat="false" ht="57.75" hidden="false" customHeight="true" outlineLevel="0" collapsed="false">
      <c r="A75" s="10" t="s">
        <v>3073</v>
      </c>
      <c r="B75" s="10" t="s">
        <v>3022</v>
      </c>
      <c r="C75" s="10" t="s">
        <v>3023</v>
      </c>
      <c r="D75" s="10" t="s">
        <v>3024</v>
      </c>
    </row>
    <row r="76" customFormat="false" ht="57.75" hidden="false" customHeight="true" outlineLevel="0" collapsed="false">
      <c r="A76" s="10" t="s">
        <v>3074</v>
      </c>
      <c r="B76" s="10" t="s">
        <v>3022</v>
      </c>
      <c r="C76" s="10" t="s">
        <v>3023</v>
      </c>
      <c r="D76" s="10" t="s">
        <v>3024</v>
      </c>
    </row>
    <row r="77" customFormat="false" ht="57.75" hidden="false" customHeight="true" outlineLevel="0" collapsed="false">
      <c r="A77" s="10" t="s">
        <v>3075</v>
      </c>
      <c r="B77" s="10" t="s">
        <v>3022</v>
      </c>
      <c r="C77" s="10" t="s">
        <v>3023</v>
      </c>
      <c r="D77" s="10" t="s">
        <v>3024</v>
      </c>
    </row>
    <row r="78" customFormat="false" ht="57.75" hidden="false" customHeight="true" outlineLevel="0" collapsed="false">
      <c r="A78" s="10" t="s">
        <v>3076</v>
      </c>
      <c r="B78" s="10" t="s">
        <v>3022</v>
      </c>
      <c r="C78" s="10" t="s">
        <v>3023</v>
      </c>
      <c r="D78" s="10" t="s">
        <v>3024</v>
      </c>
    </row>
    <row r="79" customFormat="false" ht="57.75" hidden="false" customHeight="true" outlineLevel="0" collapsed="false">
      <c r="A79" s="10" t="s">
        <v>3077</v>
      </c>
      <c r="B79" s="10" t="s">
        <v>3022</v>
      </c>
      <c r="C79" s="10" t="s">
        <v>3023</v>
      </c>
      <c r="D79" s="10" t="s">
        <v>3024</v>
      </c>
    </row>
    <row r="80" customFormat="false" ht="57.75" hidden="false" customHeight="true" outlineLevel="0" collapsed="false">
      <c r="A80" s="10" t="s">
        <v>3078</v>
      </c>
      <c r="B80" s="10" t="s">
        <v>3022</v>
      </c>
      <c r="C80" s="10" t="s">
        <v>3023</v>
      </c>
      <c r="D80" s="10" t="s">
        <v>3024</v>
      </c>
    </row>
    <row r="81" customFormat="false" ht="57.75" hidden="false" customHeight="true" outlineLevel="0" collapsed="false">
      <c r="A81" s="10" t="s">
        <v>3079</v>
      </c>
      <c r="B81" s="10" t="s">
        <v>3022</v>
      </c>
      <c r="C81" s="10" t="s">
        <v>3023</v>
      </c>
      <c r="D81" s="10" t="s">
        <v>3024</v>
      </c>
    </row>
    <row r="82" customFormat="false" ht="57.75" hidden="false" customHeight="true" outlineLevel="0" collapsed="false">
      <c r="A82" s="10" t="s">
        <v>3080</v>
      </c>
      <c r="B82" s="10" t="s">
        <v>3022</v>
      </c>
      <c r="C82" s="10" t="s">
        <v>3023</v>
      </c>
      <c r="D82" s="10" t="s">
        <v>3024</v>
      </c>
    </row>
    <row r="83" customFormat="false" ht="57.75" hidden="false" customHeight="true" outlineLevel="0" collapsed="false">
      <c r="A83" s="10" t="s">
        <v>3081</v>
      </c>
      <c r="B83" s="10" t="s">
        <v>3022</v>
      </c>
      <c r="C83" s="10" t="s">
        <v>3023</v>
      </c>
      <c r="D83" s="10" t="s">
        <v>3024</v>
      </c>
    </row>
    <row r="84" customFormat="false" ht="57.75" hidden="false" customHeight="true" outlineLevel="0" collapsed="false">
      <c r="A84" s="10" t="s">
        <v>3082</v>
      </c>
      <c r="B84" s="10" t="s">
        <v>3022</v>
      </c>
      <c r="C84" s="10" t="s">
        <v>3023</v>
      </c>
      <c r="D84" s="10" t="s">
        <v>3024</v>
      </c>
    </row>
    <row r="85" customFormat="false" ht="57.75" hidden="false" customHeight="true" outlineLevel="0" collapsed="false">
      <c r="A85" s="10" t="s">
        <v>3083</v>
      </c>
      <c r="B85" s="10" t="s">
        <v>3022</v>
      </c>
      <c r="C85" s="10" t="s">
        <v>3023</v>
      </c>
      <c r="D85" s="10" t="s">
        <v>3024</v>
      </c>
    </row>
    <row r="86" customFormat="false" ht="57.75" hidden="false" customHeight="true" outlineLevel="0" collapsed="false">
      <c r="A86" s="10" t="s">
        <v>3084</v>
      </c>
      <c r="B86" s="10" t="s">
        <v>3022</v>
      </c>
      <c r="C86" s="10" t="s">
        <v>3023</v>
      </c>
      <c r="D86" s="10" t="s">
        <v>3024</v>
      </c>
    </row>
    <row r="87" customFormat="false" ht="57.75" hidden="false" customHeight="true" outlineLevel="0" collapsed="false">
      <c r="A87" s="10" t="s">
        <v>3085</v>
      </c>
      <c r="B87" s="10" t="s">
        <v>3022</v>
      </c>
      <c r="C87" s="10" t="s">
        <v>3023</v>
      </c>
      <c r="D87" s="10" t="s">
        <v>3024</v>
      </c>
    </row>
    <row r="88" customFormat="false" ht="57.75" hidden="false" customHeight="true" outlineLevel="0" collapsed="false">
      <c r="A88" s="10" t="s">
        <v>3086</v>
      </c>
      <c r="B88" s="10" t="s">
        <v>3022</v>
      </c>
      <c r="C88" s="10" t="s">
        <v>3023</v>
      </c>
      <c r="D88" s="10" t="s">
        <v>3024</v>
      </c>
    </row>
    <row r="89" customFormat="false" ht="57.75" hidden="false" customHeight="true" outlineLevel="0" collapsed="false">
      <c r="A89" s="10" t="s">
        <v>3087</v>
      </c>
      <c r="B89" s="10" t="s">
        <v>3022</v>
      </c>
      <c r="C89" s="10" t="s">
        <v>3023</v>
      </c>
      <c r="D89" s="10" t="s">
        <v>3024</v>
      </c>
    </row>
    <row r="90" customFormat="false" ht="57.75" hidden="false" customHeight="true" outlineLevel="0" collapsed="false">
      <c r="A90" s="10" t="s">
        <v>3088</v>
      </c>
      <c r="B90" s="10" t="s">
        <v>3022</v>
      </c>
      <c r="C90" s="10" t="s">
        <v>3023</v>
      </c>
      <c r="D90" s="10" t="s">
        <v>3024</v>
      </c>
    </row>
    <row r="91" customFormat="false" ht="57.75" hidden="false" customHeight="true" outlineLevel="0" collapsed="false">
      <c r="A91" s="10" t="s">
        <v>3089</v>
      </c>
      <c r="B91" s="10" t="s">
        <v>3022</v>
      </c>
      <c r="C91" s="10" t="s">
        <v>3023</v>
      </c>
      <c r="D91" s="10" t="s">
        <v>3024</v>
      </c>
    </row>
    <row r="92" customFormat="false" ht="57.75" hidden="false" customHeight="true" outlineLevel="0" collapsed="false">
      <c r="A92" s="10" t="s">
        <v>3090</v>
      </c>
      <c r="B92" s="10" t="s">
        <v>3022</v>
      </c>
      <c r="C92" s="10" t="s">
        <v>3023</v>
      </c>
      <c r="D92" s="10" t="s">
        <v>3024</v>
      </c>
    </row>
    <row r="93" customFormat="false" ht="57.75" hidden="false" customHeight="true" outlineLevel="0" collapsed="false">
      <c r="A93" s="10" t="s">
        <v>3091</v>
      </c>
      <c r="B93" s="10" t="s">
        <v>3022</v>
      </c>
      <c r="C93" s="10" t="s">
        <v>3023</v>
      </c>
      <c r="D93" s="10" t="s">
        <v>3024</v>
      </c>
    </row>
    <row r="94" customFormat="false" ht="57.75" hidden="false" customHeight="true" outlineLevel="0" collapsed="false">
      <c r="A94" s="10" t="s">
        <v>3092</v>
      </c>
      <c r="B94" s="10" t="s">
        <v>3022</v>
      </c>
      <c r="C94" s="10" t="s">
        <v>3023</v>
      </c>
      <c r="D94" s="10" t="s">
        <v>3024</v>
      </c>
    </row>
    <row r="95" customFormat="false" ht="57.75" hidden="false" customHeight="true" outlineLevel="0" collapsed="false">
      <c r="A95" s="10" t="s">
        <v>3093</v>
      </c>
      <c r="B95" s="10" t="s">
        <v>3022</v>
      </c>
      <c r="C95" s="10" t="s">
        <v>3023</v>
      </c>
      <c r="D95" s="10" t="s">
        <v>3024</v>
      </c>
    </row>
    <row r="96" customFormat="false" ht="57.75" hidden="false" customHeight="true" outlineLevel="0" collapsed="false">
      <c r="A96" s="10" t="s">
        <v>3094</v>
      </c>
      <c r="B96" s="10" t="s">
        <v>3022</v>
      </c>
      <c r="C96" s="10" t="s">
        <v>3023</v>
      </c>
      <c r="D96" s="10" t="s">
        <v>3024</v>
      </c>
    </row>
    <row r="97" customFormat="false" ht="57.75" hidden="false" customHeight="true" outlineLevel="0" collapsed="false">
      <c r="A97" s="10" t="s">
        <v>3095</v>
      </c>
      <c r="B97" s="10" t="s">
        <v>3022</v>
      </c>
      <c r="C97" s="10" t="s">
        <v>3023</v>
      </c>
      <c r="D97" s="10" t="s">
        <v>3024</v>
      </c>
    </row>
    <row r="98" customFormat="false" ht="57.75" hidden="false" customHeight="true" outlineLevel="0" collapsed="false">
      <c r="A98" s="10" t="s">
        <v>3096</v>
      </c>
      <c r="B98" s="10" t="s">
        <v>3022</v>
      </c>
      <c r="C98" s="10" t="s">
        <v>3023</v>
      </c>
      <c r="D98" s="10" t="s">
        <v>3024</v>
      </c>
    </row>
    <row r="99" customFormat="false" ht="57.75" hidden="false" customHeight="true" outlineLevel="0" collapsed="false">
      <c r="A99" s="10" t="s">
        <v>3097</v>
      </c>
      <c r="B99" s="10" t="s">
        <v>3022</v>
      </c>
      <c r="C99" s="10" t="s">
        <v>3023</v>
      </c>
      <c r="D99" s="10" t="s">
        <v>3024</v>
      </c>
    </row>
    <row r="100" customFormat="false" ht="57.75" hidden="false" customHeight="true" outlineLevel="0" collapsed="false">
      <c r="A100" s="10" t="s">
        <v>3098</v>
      </c>
      <c r="B100" s="10" t="s">
        <v>3022</v>
      </c>
      <c r="C100" s="10" t="s">
        <v>3023</v>
      </c>
      <c r="D100" s="10" t="s">
        <v>3024</v>
      </c>
    </row>
    <row r="101" customFormat="false" ht="57.75" hidden="false" customHeight="true" outlineLevel="0" collapsed="false">
      <c r="A101" s="10" t="s">
        <v>3099</v>
      </c>
      <c r="B101" s="10" t="s">
        <v>3022</v>
      </c>
      <c r="C101" s="10" t="s">
        <v>3023</v>
      </c>
      <c r="D101" s="10" t="s">
        <v>3024</v>
      </c>
    </row>
    <row r="102" customFormat="false" ht="57.75" hidden="false" customHeight="true" outlineLevel="0" collapsed="false">
      <c r="A102" s="10" t="s">
        <v>3100</v>
      </c>
      <c r="B102" s="10" t="s">
        <v>3022</v>
      </c>
      <c r="C102" s="10" t="s">
        <v>3023</v>
      </c>
      <c r="D102" s="10" t="s">
        <v>3024</v>
      </c>
    </row>
    <row r="103" customFormat="false" ht="57.75" hidden="false" customHeight="true" outlineLevel="0" collapsed="false">
      <c r="A103" s="10" t="s">
        <v>3101</v>
      </c>
      <c r="B103" s="10" t="s">
        <v>3022</v>
      </c>
      <c r="C103" s="10" t="s">
        <v>3023</v>
      </c>
      <c r="D103" s="10" t="s">
        <v>3024</v>
      </c>
    </row>
    <row r="104" customFormat="false" ht="57.75" hidden="false" customHeight="true" outlineLevel="0" collapsed="false">
      <c r="A104" s="10" t="s">
        <v>3102</v>
      </c>
      <c r="B104" s="10" t="s">
        <v>3022</v>
      </c>
      <c r="C104" s="10" t="s">
        <v>3023</v>
      </c>
      <c r="D104" s="10" t="s">
        <v>3024</v>
      </c>
    </row>
    <row r="105" customFormat="false" ht="57.75" hidden="false" customHeight="true" outlineLevel="0" collapsed="false">
      <c r="A105" s="10" t="s">
        <v>3103</v>
      </c>
      <c r="B105" s="10" t="s">
        <v>3022</v>
      </c>
      <c r="C105" s="10" t="s">
        <v>3023</v>
      </c>
      <c r="D105" s="10" t="s">
        <v>3024</v>
      </c>
    </row>
    <row r="106" customFormat="false" ht="57.75" hidden="false" customHeight="true" outlineLevel="0" collapsed="false">
      <c r="A106" s="10" t="s">
        <v>3104</v>
      </c>
      <c r="B106" s="10" t="s">
        <v>3022</v>
      </c>
      <c r="C106" s="10" t="s">
        <v>3023</v>
      </c>
      <c r="D106" s="10" t="s">
        <v>3024</v>
      </c>
    </row>
    <row r="107" customFormat="false" ht="57.75" hidden="false" customHeight="true" outlineLevel="0" collapsed="false">
      <c r="A107" s="10" t="s">
        <v>3105</v>
      </c>
      <c r="B107" s="10" t="s">
        <v>3022</v>
      </c>
      <c r="C107" s="10" t="s">
        <v>3023</v>
      </c>
      <c r="D107" s="10" t="s">
        <v>3024</v>
      </c>
    </row>
    <row r="108" customFormat="false" ht="57.75" hidden="false" customHeight="true" outlineLevel="0" collapsed="false">
      <c r="A108" s="10" t="s">
        <v>3106</v>
      </c>
      <c r="B108" s="10" t="s">
        <v>3022</v>
      </c>
      <c r="C108" s="10" t="s">
        <v>3023</v>
      </c>
      <c r="D108" s="10" t="s">
        <v>3024</v>
      </c>
    </row>
    <row r="109" customFormat="false" ht="57.75" hidden="false" customHeight="true" outlineLevel="0" collapsed="false">
      <c r="A109" s="10" t="s">
        <v>3107</v>
      </c>
      <c r="B109" s="10" t="s">
        <v>3022</v>
      </c>
      <c r="C109" s="10" t="s">
        <v>3023</v>
      </c>
      <c r="D109" s="10" t="s">
        <v>3024</v>
      </c>
    </row>
    <row r="110" customFormat="false" ht="57.75" hidden="false" customHeight="true" outlineLevel="0" collapsed="false">
      <c r="A110" s="10" t="s">
        <v>3108</v>
      </c>
      <c r="B110" s="10" t="s">
        <v>3022</v>
      </c>
      <c r="C110" s="10" t="s">
        <v>3023</v>
      </c>
      <c r="D110" s="10" t="s">
        <v>3024</v>
      </c>
    </row>
    <row r="111" customFormat="false" ht="57.75" hidden="false" customHeight="true" outlineLevel="0" collapsed="false">
      <c r="A111" s="10" t="s">
        <v>3109</v>
      </c>
      <c r="B111" s="10" t="s">
        <v>3022</v>
      </c>
      <c r="C111" s="10" t="s">
        <v>3023</v>
      </c>
      <c r="D111" s="10" t="s">
        <v>3024</v>
      </c>
    </row>
    <row r="112" customFormat="false" ht="57.75" hidden="false" customHeight="true" outlineLevel="0" collapsed="false">
      <c r="A112" s="10" t="s">
        <v>3110</v>
      </c>
      <c r="B112" s="10" t="s">
        <v>3022</v>
      </c>
      <c r="C112" s="10" t="s">
        <v>3023</v>
      </c>
      <c r="D112" s="10" t="s">
        <v>3024</v>
      </c>
    </row>
    <row r="113" customFormat="false" ht="57.75" hidden="false" customHeight="true" outlineLevel="0" collapsed="false">
      <c r="A113" s="10" t="s">
        <v>3111</v>
      </c>
      <c r="B113" s="10" t="s">
        <v>3022</v>
      </c>
      <c r="C113" s="10" t="s">
        <v>3023</v>
      </c>
      <c r="D113" s="10" t="s">
        <v>3024</v>
      </c>
    </row>
    <row r="114" customFormat="false" ht="57.75" hidden="false" customHeight="true" outlineLevel="0" collapsed="false">
      <c r="A114" s="10" t="s">
        <v>3112</v>
      </c>
      <c r="B114" s="10" t="s">
        <v>3022</v>
      </c>
      <c r="C114" s="10" t="s">
        <v>3023</v>
      </c>
      <c r="D114" s="10" t="s">
        <v>3024</v>
      </c>
    </row>
    <row r="115" customFormat="false" ht="57.75" hidden="false" customHeight="true" outlineLevel="0" collapsed="false">
      <c r="A115" s="10" t="s">
        <v>3113</v>
      </c>
      <c r="B115" s="10" t="s">
        <v>3022</v>
      </c>
      <c r="C115" s="10" t="s">
        <v>3023</v>
      </c>
      <c r="D115" s="10" t="s">
        <v>3024</v>
      </c>
    </row>
    <row r="116" customFormat="false" ht="57.75" hidden="false" customHeight="true" outlineLevel="0" collapsed="false">
      <c r="A116" s="10" t="s">
        <v>3114</v>
      </c>
      <c r="B116" s="10" t="s">
        <v>3115</v>
      </c>
      <c r="C116" s="10" t="s">
        <v>3023</v>
      </c>
      <c r="D116" s="10" t="s">
        <v>3116</v>
      </c>
    </row>
    <row r="117" customFormat="false" ht="57.75" hidden="false" customHeight="true" outlineLevel="0" collapsed="false">
      <c r="A117" s="10" t="s">
        <v>3117</v>
      </c>
      <c r="B117" s="10" t="s">
        <v>3115</v>
      </c>
      <c r="C117" s="10" t="s">
        <v>3023</v>
      </c>
      <c r="D117" s="10" t="s">
        <v>3116</v>
      </c>
    </row>
    <row r="118" customFormat="false" ht="57.75" hidden="false" customHeight="true" outlineLevel="0" collapsed="false">
      <c r="A118" s="10" t="s">
        <v>3118</v>
      </c>
      <c r="B118" s="10" t="s">
        <v>3115</v>
      </c>
      <c r="C118" s="10" t="s">
        <v>3023</v>
      </c>
      <c r="D118" s="10" t="s">
        <v>3116</v>
      </c>
    </row>
    <row r="119" customFormat="false" ht="57.75" hidden="false" customHeight="true" outlineLevel="0" collapsed="false">
      <c r="A119" s="10" t="s">
        <v>3119</v>
      </c>
      <c r="B119" s="10" t="s">
        <v>3115</v>
      </c>
      <c r="C119" s="10" t="s">
        <v>3023</v>
      </c>
      <c r="D119" s="10" t="s">
        <v>3116</v>
      </c>
    </row>
    <row r="120" customFormat="false" ht="57.75" hidden="false" customHeight="true" outlineLevel="0" collapsed="false">
      <c r="A120" s="10" t="s">
        <v>3120</v>
      </c>
      <c r="B120" s="10" t="s">
        <v>3115</v>
      </c>
      <c r="C120" s="10" t="s">
        <v>3023</v>
      </c>
      <c r="D120" s="10" t="s">
        <v>3116</v>
      </c>
    </row>
    <row r="121" customFormat="false" ht="57.75" hidden="false" customHeight="true" outlineLevel="0" collapsed="false">
      <c r="A121" s="10" t="s">
        <v>3121</v>
      </c>
      <c r="B121" s="10" t="s">
        <v>3115</v>
      </c>
      <c r="C121" s="10" t="s">
        <v>3023</v>
      </c>
      <c r="D121" s="10" t="s">
        <v>3116</v>
      </c>
    </row>
    <row r="122" customFormat="false" ht="57.75" hidden="false" customHeight="true" outlineLevel="0" collapsed="false">
      <c r="A122" s="10" t="s">
        <v>3122</v>
      </c>
      <c r="B122" s="10" t="s">
        <v>3115</v>
      </c>
      <c r="C122" s="10" t="s">
        <v>3023</v>
      </c>
      <c r="D122" s="10" t="s">
        <v>3116</v>
      </c>
    </row>
    <row r="123" customFormat="false" ht="57.75" hidden="false" customHeight="true" outlineLevel="0" collapsed="false">
      <c r="A123" s="10" t="s">
        <v>3123</v>
      </c>
      <c r="B123" s="10" t="s">
        <v>3115</v>
      </c>
      <c r="C123" s="10" t="s">
        <v>3023</v>
      </c>
      <c r="D123" s="10" t="s">
        <v>3116</v>
      </c>
    </row>
    <row r="124" customFormat="false" ht="57.75" hidden="false" customHeight="true" outlineLevel="0" collapsed="false">
      <c r="A124" s="10" t="s">
        <v>3124</v>
      </c>
      <c r="B124" s="10" t="s">
        <v>3125</v>
      </c>
      <c r="C124" s="10" t="s">
        <v>3023</v>
      </c>
      <c r="D124" s="10" t="s">
        <v>3126</v>
      </c>
    </row>
    <row r="125" customFormat="false" ht="57.75" hidden="false" customHeight="true" outlineLevel="0" collapsed="false">
      <c r="A125" s="10" t="s">
        <v>3127</v>
      </c>
      <c r="B125" s="10" t="s">
        <v>3125</v>
      </c>
      <c r="C125" s="10" t="s">
        <v>3023</v>
      </c>
      <c r="D125" s="10" t="s">
        <v>3126</v>
      </c>
    </row>
    <row r="126" customFormat="false" ht="57.75" hidden="false" customHeight="true" outlineLevel="0" collapsed="false">
      <c r="A126" s="10" t="s">
        <v>3128</v>
      </c>
      <c r="B126" s="10" t="s">
        <v>3115</v>
      </c>
      <c r="C126" s="10" t="s">
        <v>3023</v>
      </c>
      <c r="D126" s="10" t="s">
        <v>3116</v>
      </c>
    </row>
    <row r="127" customFormat="false" ht="57.75" hidden="false" customHeight="true" outlineLevel="0" collapsed="false">
      <c r="A127" s="10" t="s">
        <v>3129</v>
      </c>
      <c r="B127" s="10" t="s">
        <v>3125</v>
      </c>
      <c r="C127" s="10" t="s">
        <v>3023</v>
      </c>
      <c r="D127" s="10" t="s">
        <v>3126</v>
      </c>
    </row>
    <row r="128" customFormat="false" ht="57.75" hidden="false" customHeight="true" outlineLevel="0" collapsed="false">
      <c r="A128" s="10" t="s">
        <v>3130</v>
      </c>
      <c r="B128" s="10" t="s">
        <v>3125</v>
      </c>
      <c r="C128" s="10" t="s">
        <v>3023</v>
      </c>
      <c r="D128" s="10" t="s">
        <v>3126</v>
      </c>
    </row>
    <row r="129" customFormat="false" ht="57.75" hidden="false" customHeight="true" outlineLevel="0" collapsed="false">
      <c r="A129" s="10" t="s">
        <v>3131</v>
      </c>
      <c r="B129" s="10" t="s">
        <v>3125</v>
      </c>
      <c r="C129" s="10" t="s">
        <v>3023</v>
      </c>
      <c r="D129" s="10" t="s">
        <v>3126</v>
      </c>
    </row>
    <row r="130" customFormat="false" ht="57.75" hidden="false" customHeight="true" outlineLevel="0" collapsed="false">
      <c r="A130" s="10" t="s">
        <v>3132</v>
      </c>
      <c r="B130" s="10" t="s">
        <v>3125</v>
      </c>
      <c r="C130" s="10" t="s">
        <v>3023</v>
      </c>
      <c r="D130" s="10" t="s">
        <v>3126</v>
      </c>
    </row>
    <row r="131" customFormat="false" ht="57.75" hidden="false" customHeight="true" outlineLevel="0" collapsed="false">
      <c r="A131" s="10" t="s">
        <v>3133</v>
      </c>
      <c r="B131" s="10" t="s">
        <v>3125</v>
      </c>
      <c r="C131" s="10" t="s">
        <v>3023</v>
      </c>
      <c r="D131" s="10" t="s">
        <v>3126</v>
      </c>
    </row>
    <row r="132" customFormat="false" ht="57.75" hidden="false" customHeight="true" outlineLevel="0" collapsed="false">
      <c r="A132" s="10" t="s">
        <v>3134</v>
      </c>
      <c r="B132" s="10" t="s">
        <v>3115</v>
      </c>
      <c r="C132" s="10" t="s">
        <v>3023</v>
      </c>
      <c r="D132" s="10" t="s">
        <v>3116</v>
      </c>
    </row>
    <row r="133" customFormat="false" ht="57.75" hidden="false" customHeight="true" outlineLevel="0" collapsed="false">
      <c r="A133" s="10" t="s">
        <v>3135</v>
      </c>
      <c r="B133" s="10" t="s">
        <v>3115</v>
      </c>
      <c r="C133" s="10" t="s">
        <v>3023</v>
      </c>
      <c r="D133" s="10" t="s">
        <v>3116</v>
      </c>
    </row>
    <row r="134" customFormat="false" ht="57.75" hidden="false" customHeight="true" outlineLevel="0" collapsed="false">
      <c r="A134" s="10" t="s">
        <v>3136</v>
      </c>
      <c r="B134" s="10" t="s">
        <v>3115</v>
      </c>
      <c r="C134" s="10" t="s">
        <v>3023</v>
      </c>
      <c r="D134" s="10" t="s">
        <v>3116</v>
      </c>
    </row>
    <row r="135" customFormat="false" ht="57.75" hidden="false" customHeight="true" outlineLevel="0" collapsed="false">
      <c r="A135" s="10" t="s">
        <v>3137</v>
      </c>
      <c r="B135" s="10" t="s">
        <v>3115</v>
      </c>
      <c r="C135" s="10" t="s">
        <v>3023</v>
      </c>
      <c r="D135" s="10" t="s">
        <v>3116</v>
      </c>
    </row>
    <row r="136" customFormat="false" ht="57.75" hidden="false" customHeight="true" outlineLevel="0" collapsed="false">
      <c r="A136" s="10" t="s">
        <v>3138</v>
      </c>
      <c r="B136" s="10" t="s">
        <v>3115</v>
      </c>
      <c r="C136" s="10" t="s">
        <v>3023</v>
      </c>
      <c r="D136" s="10" t="s">
        <v>3116</v>
      </c>
    </row>
    <row r="137" customFormat="false" ht="57.75" hidden="false" customHeight="true" outlineLevel="0" collapsed="false">
      <c r="A137" s="10" t="s">
        <v>3139</v>
      </c>
      <c r="B137" s="10" t="s">
        <v>3115</v>
      </c>
      <c r="C137" s="10" t="s">
        <v>3023</v>
      </c>
      <c r="D137" s="10" t="s">
        <v>3116</v>
      </c>
    </row>
    <row r="138" customFormat="false" ht="57.75" hidden="false" customHeight="true" outlineLevel="0" collapsed="false">
      <c r="A138" s="10" t="s">
        <v>3140</v>
      </c>
      <c r="B138" s="10" t="s">
        <v>3115</v>
      </c>
      <c r="C138" s="10" t="s">
        <v>3023</v>
      </c>
      <c r="D138" s="10" t="s">
        <v>3116</v>
      </c>
    </row>
    <row r="139" customFormat="false" ht="57.75" hidden="false" customHeight="true" outlineLevel="0" collapsed="false">
      <c r="A139" s="10" t="s">
        <v>3141</v>
      </c>
      <c r="B139" s="10" t="s">
        <v>3115</v>
      </c>
      <c r="C139" s="10" t="s">
        <v>3023</v>
      </c>
      <c r="D139" s="10" t="s">
        <v>3116</v>
      </c>
    </row>
    <row r="140" customFormat="false" ht="57.75" hidden="false" customHeight="true" outlineLevel="0" collapsed="false">
      <c r="A140" s="10" t="s">
        <v>3142</v>
      </c>
      <c r="B140" s="10" t="s">
        <v>3143</v>
      </c>
      <c r="C140" s="10" t="s">
        <v>3144</v>
      </c>
      <c r="D140" s="10" t="s">
        <v>3145</v>
      </c>
    </row>
    <row r="141" customFormat="false" ht="57.75" hidden="false" customHeight="true" outlineLevel="0" collapsed="false">
      <c r="A141" s="10" t="s">
        <v>3146</v>
      </c>
      <c r="B141" s="10" t="s">
        <v>3143</v>
      </c>
      <c r="C141" s="10" t="s">
        <v>3144</v>
      </c>
      <c r="D141" s="10" t="s">
        <v>3145</v>
      </c>
    </row>
    <row r="142" customFormat="false" ht="57.75" hidden="false" customHeight="true" outlineLevel="0" collapsed="false">
      <c r="A142" s="10" t="s">
        <v>3147</v>
      </c>
      <c r="B142" s="10" t="s">
        <v>3143</v>
      </c>
      <c r="C142" s="10" t="s">
        <v>3144</v>
      </c>
      <c r="D142" s="10" t="s">
        <v>3145</v>
      </c>
    </row>
    <row r="143" customFormat="false" ht="57.75" hidden="false" customHeight="true" outlineLevel="0" collapsed="false">
      <c r="A143" s="10" t="s">
        <v>3148</v>
      </c>
      <c r="B143" s="10" t="s">
        <v>3143</v>
      </c>
      <c r="C143" s="10" t="s">
        <v>3144</v>
      </c>
      <c r="D143" s="10" t="s">
        <v>3145</v>
      </c>
    </row>
    <row r="144" customFormat="false" ht="57.75" hidden="false" customHeight="true" outlineLevel="0" collapsed="false">
      <c r="A144" s="10" t="s">
        <v>3149</v>
      </c>
      <c r="B144" s="10" t="s">
        <v>3143</v>
      </c>
      <c r="C144" s="10" t="s">
        <v>3144</v>
      </c>
      <c r="D144" s="10" t="s">
        <v>3145</v>
      </c>
    </row>
    <row r="145" customFormat="false" ht="57.75" hidden="false" customHeight="true" outlineLevel="0" collapsed="false">
      <c r="A145" s="10" t="s">
        <v>3150</v>
      </c>
      <c r="B145" s="10" t="s">
        <v>3143</v>
      </c>
      <c r="C145" s="10" t="s">
        <v>3144</v>
      </c>
      <c r="D145" s="10" t="s">
        <v>3145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2026-10-14T16:43:23Z</dcterms:created>
  <dc:creator>Capexly · consolidated edition</dc:creator>
  <dc:description/>
  <dc:language>en-US</dc:language>
  <cp:lastModifiedBy/>
  <dcterms:modified xsi:type="dcterms:W3CDTF">2026-10-14T16:43:25Z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